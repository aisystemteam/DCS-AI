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통합 체크리스트" sheetId="1" state="visible" r:id="rId3"/>
    <sheet name="단계별 집계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<sst xmlns="http://schemas.openxmlformats.org/spreadsheetml/2006/main" count="4229" uniqueCount="2235">
  <si>
    <t xml:space="preserve">☐</t>
  </si>
  <si>
    <t xml:space="preserve">임무단계</t>
  </si>
  <si>
    <t xml:space="preserve">단계명</t>
  </si>
  <si>
    <t xml:space="preserve">출처</t>
  </si>
  <si>
    <t xml:space="preserve">ID</t>
  </si>
  <si>
    <r>
      <rPr>
        <b val="true"/>
        <sz val="10"/>
        <color rgb="FFFFFFFF"/>
        <rFont val="Noto Sans CJK SC"/>
        <family val="2"/>
      </rPr>
      <t xml:space="preserve">절차명</t>
    </r>
    <r>
      <rPr>
        <b val="true"/>
        <sz val="10"/>
        <color rgb="FFFFFFFF"/>
        <rFont val="Malgun Gothic"/>
        <family val="0"/>
        <charset val="1"/>
      </rPr>
      <t xml:space="preserve">(KO)</t>
    </r>
  </si>
  <si>
    <r>
      <rPr>
        <b val="true"/>
        <sz val="10"/>
        <color rgb="FFFFFFFF"/>
        <rFont val="Noto Sans CJK SC"/>
        <family val="2"/>
      </rPr>
      <t xml:space="preserve">절차명</t>
    </r>
    <r>
      <rPr>
        <b val="true"/>
        <sz val="10"/>
        <color rgb="FFFFFFFF"/>
        <rFont val="Malgun Gothic"/>
        <family val="0"/>
        <charset val="1"/>
      </rPr>
      <t xml:space="preserve">(EN)</t>
    </r>
  </si>
  <si>
    <t xml:space="preserve">트리거</t>
  </si>
  <si>
    <r>
      <rPr>
        <b val="true"/>
        <sz val="10"/>
        <color rgb="FFFFFFFF"/>
        <rFont val="Noto Sans CJK SC"/>
        <family val="2"/>
      </rPr>
      <t xml:space="preserve">한 줄 체크리스트 </t>
    </r>
    <r>
      <rPr>
        <b val="true"/>
        <sz val="10"/>
        <color rgb="FFFFFFFF"/>
        <rFont val="Malgun Gothic"/>
        <family val="0"/>
        <charset val="1"/>
      </rPr>
      <t xml:space="preserve">(DCS </t>
    </r>
    <r>
      <rPr>
        <b val="true"/>
        <sz val="10"/>
        <color rgb="FFFFFFFF"/>
        <rFont val="Noto Sans CJK SC"/>
        <family val="2"/>
      </rPr>
      <t xml:space="preserve">조작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</si>
  <si>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Malgun Gothic"/>
        <family val="0"/>
        <charset val="1"/>
      </rPr>
      <t xml:space="preserve">DCS </t>
    </r>
    <r>
      <rPr>
        <b val="true"/>
        <sz val="10"/>
        <color rgb="FFFFFFFF"/>
        <rFont val="Noto Sans CJK SC"/>
        <family val="2"/>
      </rPr>
      <t xml:space="preserve">적용성</t>
    </r>
  </si>
  <si>
    <t xml:space="preserve">BOLDFACE</t>
  </si>
  <si>
    <r>
      <rPr>
        <b val="true"/>
        <sz val="10"/>
        <color rgb="FFFFFFFF"/>
        <rFont val="Noto Sans CJK SC"/>
        <family val="2"/>
      </rPr>
      <t xml:space="preserve">원문 </t>
    </r>
    <r>
      <rPr>
        <b val="true"/>
        <sz val="10"/>
        <color rgb="FFFFFFFF"/>
        <rFont val="Malgun Gothic"/>
        <family val="0"/>
        <charset val="1"/>
      </rPr>
      <t xml:space="preserve">p.</t>
    </r>
  </si>
  <si>
    <r>
      <rPr>
        <b val="true"/>
        <sz val="10"/>
        <rFont val="Malgun Gothic"/>
        <family val="0"/>
        <charset val="1"/>
      </rPr>
      <t xml:space="preserve">■ P0  </t>
    </r>
    <r>
      <rPr>
        <b val="true"/>
        <sz val="10"/>
        <rFont val="Noto Sans CJK SC"/>
        <family val="2"/>
      </rPr>
      <t xml:space="preserve">임무계획 </t>
    </r>
    <r>
      <rPr>
        <b val="true"/>
        <sz val="10"/>
        <rFont val="Malgun Gothic"/>
        <family val="0"/>
        <charset val="1"/>
      </rPr>
      <t xml:space="preserve">/ DTC </t>
    </r>
    <r>
      <rPr>
        <b val="true"/>
        <sz val="10"/>
        <rFont val="Noto Sans CJK SC"/>
        <family val="2"/>
      </rPr>
      <t xml:space="preserve">준비  </t>
    </r>
    <r>
      <rPr>
        <b val="true"/>
        <sz val="10"/>
        <rFont val="Malgun Gothic"/>
        <family val="0"/>
        <charset val="1"/>
      </rPr>
      <t xml:space="preserve">(Mission Planning / DTC) — </t>
    </r>
    <r>
      <rPr>
        <b val="true"/>
        <sz val="10"/>
        <rFont val="Noto Sans CJK SC"/>
        <family val="2"/>
      </rPr>
      <t xml:space="preserve">비행 전 임무계획 단계</t>
    </r>
    <r>
      <rPr>
        <b val="true"/>
        <sz val="10"/>
        <rFont val="Malgun Gothic"/>
        <family val="0"/>
        <charset val="1"/>
      </rPr>
      <t xml:space="preserve">. DTC </t>
    </r>
    <r>
      <rPr>
        <b val="true"/>
        <sz val="10"/>
        <rFont val="Noto Sans CJK SC"/>
        <family val="2"/>
      </rPr>
      <t xml:space="preserve">데이터 준비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무장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퓨즈 선정</t>
    </r>
    <r>
      <rPr>
        <b val="true"/>
        <sz val="10"/>
        <rFont val="Malgun Gothic"/>
        <family val="0"/>
        <charset val="1"/>
      </rPr>
      <t xml:space="preserve">, TOS </t>
    </r>
    <r>
      <rPr>
        <b val="true"/>
        <sz val="10"/>
        <rFont val="Noto Sans CJK SC"/>
        <family val="2"/>
      </rPr>
      <t xml:space="preserve">계획</t>
    </r>
    <r>
      <rPr>
        <b val="true"/>
        <sz val="10"/>
        <rFont val="Malgun Gothic"/>
        <family val="0"/>
        <charset val="1"/>
      </rPr>
      <t xml:space="preserve">.</t>
    </r>
  </si>
  <si>
    <t xml:space="preserve">P0</t>
  </si>
  <si>
    <r>
      <rPr>
        <sz val="10"/>
        <rFont val="Noto Sans CJK SC"/>
        <family val="2"/>
      </rPr>
      <t xml:space="preserve">임무계획 </t>
    </r>
    <r>
      <rPr>
        <sz val="10"/>
        <rFont val="Malgun Gothic"/>
        <family val="0"/>
        <charset val="1"/>
      </rPr>
      <t xml:space="preserve">/ DTC </t>
    </r>
    <r>
      <rPr>
        <sz val="10"/>
        <rFont val="Noto Sans CJK SC"/>
        <family val="2"/>
      </rPr>
      <t xml:space="preserve">준비</t>
    </r>
  </si>
  <si>
    <t xml:space="preserve">Dash-1</t>
  </si>
  <si>
    <t xml:space="preserve">R-03</t>
  </si>
  <si>
    <r>
      <rPr>
        <sz val="10"/>
        <rFont val="Noto Sans CJK SC"/>
        <family val="2"/>
      </rPr>
      <t xml:space="preserve">속도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고도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연료 예비량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급유 전달률 기준</t>
    </r>
  </si>
  <si>
    <t xml:space="preserve">Airspeeds, Altitudes, Fuel Reserve, Weather, Refueling Transfer Rate</t>
  </si>
  <si>
    <r>
      <rPr>
        <sz val="10"/>
        <rFont val="Noto Sans CJK SC"/>
        <family val="2"/>
      </rPr>
      <t xml:space="preserve">임무계획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연료계획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급유 트랙 설정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급유 트랙 진입 시 속도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고도 기준 확인</t>
    </r>
  </si>
  <si>
    <r>
      <rPr>
        <sz val="10"/>
        <rFont val="Noto Sans CJK SC"/>
        <family val="2"/>
      </rPr>
      <t xml:space="preserve">탱커 고도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속도 브리핑 → </t>
    </r>
    <r>
      <rPr>
        <sz val="10"/>
        <rFont val="Malgun Gothic"/>
        <family val="0"/>
        <charset val="1"/>
      </rPr>
      <t xml:space="preserve">BNGO 30</t>
    </r>
    <r>
      <rPr>
        <sz val="10"/>
        <rFont val="Noto Sans CJK SC"/>
        <family val="2"/>
      </rPr>
      <t xml:space="preserve">분 예비 설정 </t>
    </r>
    <r>
      <rPr>
        <sz val="10"/>
        <rFont val="Malgun Gothic"/>
        <family val="0"/>
        <charset val="1"/>
      </rPr>
      <t xml:space="preserve">+ HUD </t>
    </r>
    <r>
      <rPr>
        <sz val="10"/>
        <rFont val="Noto Sans CJK SC"/>
        <family val="2"/>
      </rPr>
      <t xml:space="preserve">표시 → 기상 최저치 확인 → 전달률 기반 접촉시간 계획 → </t>
    </r>
    <r>
      <rPr>
        <sz val="10"/>
        <rFont val="Malgun Gothic"/>
        <family val="0"/>
        <charset val="1"/>
      </rPr>
      <t xml:space="preserve">CRUS TOS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ARCT </t>
    </r>
    <r>
      <rPr>
        <sz val="10"/>
        <rFont val="Noto Sans CJK SC"/>
        <family val="2"/>
      </rPr>
      <t xml:space="preserve">관리</t>
    </r>
  </si>
  <si>
    <t xml:space="preserve">부분적용</t>
  </si>
  <si>
    <t xml:space="preserve">8-1</t>
  </si>
  <si>
    <t xml:space="preserve">R-22</t>
  </si>
  <si>
    <t xml:space="preserve">랑데부 고도블록 배정</t>
  </si>
  <si>
    <t xml:space="preserve">Rendezvous Altitude Block</t>
  </si>
  <si>
    <r>
      <rPr>
        <sz val="10"/>
        <rFont val="Noto Sans CJK SC"/>
        <family val="2"/>
      </rPr>
      <t xml:space="preserve">급유 트랙 고도 블록 계획 시</t>
    </r>
    <r>
      <rPr>
        <sz val="10"/>
        <rFont val="Malgun Gothic"/>
        <family val="0"/>
        <charset val="1"/>
      </rPr>
      <t xml:space="preserve">; ARIP </t>
    </r>
    <r>
      <rPr>
        <sz val="10"/>
        <rFont val="Noto Sans CJK SC"/>
        <family val="2"/>
      </rPr>
      <t xml:space="preserve">이탈 후 랑데부 고도 진입 시</t>
    </r>
  </si>
  <si>
    <r>
      <rPr>
        <sz val="10"/>
        <rFont val="Noto Sans CJK SC"/>
        <family val="2"/>
      </rPr>
      <t xml:space="preserve">탱커 트랙 고도 확인 → 전투기 랑데부 고도 </t>
    </r>
    <r>
      <rPr>
        <sz val="10"/>
        <rFont val="Malgun Gothic"/>
        <family val="0"/>
        <charset val="1"/>
      </rPr>
      <t xml:space="preserve">= </t>
    </r>
    <r>
      <rPr>
        <sz val="10"/>
        <rFont val="Noto Sans CJK SC"/>
        <family val="2"/>
      </rPr>
      <t xml:space="preserve">탱커 </t>
    </r>
    <r>
      <rPr>
        <sz val="10"/>
        <rFont val="Malgun Gothic"/>
        <family val="0"/>
        <charset val="1"/>
      </rPr>
      <t xml:space="preserve">-1000ft → </t>
    </r>
    <r>
      <rPr>
        <sz val="10"/>
        <rFont val="Noto Sans CJK SC"/>
        <family val="2"/>
      </rPr>
      <t xml:space="preserve">탱커 지시 고도 확인 → </t>
    </r>
    <r>
      <rPr>
        <sz val="10"/>
        <rFont val="Malgun Gothic"/>
        <family val="0"/>
        <charset val="1"/>
      </rPr>
      <t xml:space="preserve">ALT HOLD</t>
    </r>
    <r>
      <rPr>
        <sz val="10"/>
        <rFont val="Noto Sans CJK SC"/>
        <family val="2"/>
      </rPr>
      <t xml:space="preserve">로 유지 → 시각접촉 후 합류</t>
    </r>
  </si>
  <si>
    <t xml:space="preserve">8-20</t>
  </si>
  <si>
    <t xml:space="preserve">Dash-34</t>
  </si>
  <si>
    <t xml:space="preserve">MP-01</t>
  </si>
  <si>
    <r>
      <rPr>
        <sz val="10"/>
        <rFont val="Noto Sans CJK SC"/>
        <family val="2"/>
      </rPr>
      <t xml:space="preserve">자동 초기화</t>
    </r>
    <r>
      <rPr>
        <sz val="10"/>
        <rFont val="Malgun Gothic"/>
        <family val="0"/>
        <charset val="1"/>
      </rPr>
      <t xml:space="preserve">(DTE) </t>
    </r>
    <r>
      <rPr>
        <sz val="10"/>
        <rFont val="Noto Sans CJK SC"/>
        <family val="2"/>
      </rPr>
      <t xml:space="preserve">절차</t>
    </r>
  </si>
  <si>
    <t xml:space="preserve">Automated Initialization (DTE) Procedures</t>
  </si>
  <si>
    <r>
      <rPr>
        <sz val="10"/>
        <rFont val="Noto Sans CJK SC"/>
        <family val="2"/>
      </rPr>
      <t xml:space="preserve">항전 전원</t>
    </r>
    <r>
      <rPr>
        <sz val="10"/>
        <rFont val="Malgun Gothic"/>
        <family val="0"/>
        <charset val="1"/>
      </rPr>
      <t xml:space="preserve">(MMC/MFD/UFC) </t>
    </r>
    <r>
      <rPr>
        <sz val="10"/>
        <rFont val="Noto Sans CJK SC"/>
        <family val="2"/>
      </rPr>
      <t xml:space="preserve">인가 및 </t>
    </r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정렬 시작 후</t>
    </r>
    <r>
      <rPr>
        <sz val="10"/>
        <rFont val="Malgun Gothic"/>
        <family val="0"/>
        <charset val="1"/>
      </rPr>
      <t xml:space="preserve">, C&amp;I </t>
    </r>
    <r>
      <rPr>
        <sz val="10"/>
        <rFont val="Noto Sans CJK SC"/>
        <family val="2"/>
      </rPr>
      <t xml:space="preserve">스위치를 </t>
    </r>
    <r>
      <rPr>
        <sz val="10"/>
        <rFont val="Malgun Gothic"/>
        <family val="0"/>
        <charset val="1"/>
      </rPr>
      <t xml:space="preserve">UFC</t>
    </r>
    <r>
      <rPr>
        <sz val="10"/>
        <rFont val="Noto Sans CJK SC"/>
        <family val="2"/>
      </rPr>
      <t xml:space="preserve">로 전환하기 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후의 시동 후 셋업 시점</t>
    </r>
  </si>
  <si>
    <r>
      <rPr>
        <sz val="10"/>
        <rFont val="Malgun Gothic"/>
        <family val="0"/>
        <charset val="1"/>
      </rPr>
      <t xml:space="preserve">DTC </t>
    </r>
    <r>
      <rPr>
        <sz val="10"/>
        <rFont val="Noto Sans CJK SC"/>
        <family val="2"/>
      </rPr>
      <t xml:space="preserve">데이터 준비 확인 → </t>
    </r>
    <r>
      <rPr>
        <sz val="10"/>
        <rFont val="Malgun Gothic"/>
        <family val="0"/>
        <charset val="1"/>
      </rPr>
      <t xml:space="preserve">MFD Main Menu → DTE → LOAD(</t>
    </r>
    <r>
      <rPr>
        <sz val="10"/>
        <rFont val="Noto Sans CJK SC"/>
        <family val="2"/>
      </rPr>
      <t xml:space="preserve">전체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항목별 </t>
    </r>
    <r>
      <rPr>
        <sz val="10"/>
        <rFont val="Malgun Gothic"/>
        <family val="0"/>
        <charset val="1"/>
      </rPr>
      <t xml:space="preserve">OSB → </t>
    </r>
    <r>
      <rPr>
        <sz val="10"/>
        <rFont val="Noto Sans CJK SC"/>
        <family val="2"/>
      </rPr>
      <t xml:space="preserve">강조 표시 확인 → </t>
    </r>
    <r>
      <rPr>
        <sz val="10"/>
        <rFont val="Malgun Gothic"/>
        <family val="0"/>
        <charset val="1"/>
      </rPr>
      <t xml:space="preserve">DED</t>
    </r>
    <r>
      <rPr>
        <sz val="10"/>
        <rFont val="Noto Sans CJK SC"/>
        <family val="2"/>
      </rPr>
      <t xml:space="preserve">에서 값 검증</t>
    </r>
  </si>
  <si>
    <t xml:space="preserve">1-266</t>
  </si>
  <si>
    <t xml:space="preserve">SUP-01</t>
  </si>
  <si>
    <r>
      <rPr>
        <sz val="10"/>
        <rFont val="Malgun Gothic"/>
        <family val="0"/>
        <charset val="1"/>
      </rPr>
      <t xml:space="preserve">Section III </t>
    </r>
    <r>
      <rPr>
        <sz val="10"/>
        <rFont val="Noto Sans CJK SC"/>
        <family val="2"/>
      </rPr>
      <t xml:space="preserve">보충 자료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퓨즈 무장시간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안전이탈거리 차트</t>
    </r>
    <r>
      <rPr>
        <sz val="10"/>
        <rFont val="Malgun Gothic"/>
        <family val="0"/>
        <charset val="1"/>
      </rPr>
      <t xml:space="preserve">)</t>
    </r>
  </si>
  <si>
    <t xml:space="preserve">Section III Supplementary Data (Fuze Arming Time / Safe Escape Charts)</t>
  </si>
  <si>
    <r>
      <rPr>
        <sz val="10"/>
        <rFont val="Noto Sans CJK SC"/>
        <family val="2"/>
      </rPr>
      <t xml:space="preserve">임무계획 시 투하 고도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속도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강하각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퓨즈 설정 선정 시</t>
    </r>
  </si>
  <si>
    <r>
      <rPr>
        <sz val="10"/>
        <rFont val="Noto Sans CJK SC"/>
        <family val="2"/>
      </rPr>
      <t xml:space="preserve">차트로 투하 파라미터 결정 → </t>
    </r>
    <r>
      <rPr>
        <sz val="10"/>
        <rFont val="Malgun Gothic"/>
        <family val="0"/>
        <charset val="1"/>
      </rPr>
      <t xml:space="preserve">SMS CNTL AD/BA·HoF </t>
    </r>
    <r>
      <rPr>
        <sz val="10"/>
        <rFont val="Noto Sans CJK SC"/>
        <family val="2"/>
      </rPr>
      <t xml:space="preserve">입력 → 퓨즈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간격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펄스 → </t>
    </r>
    <r>
      <rPr>
        <sz val="10"/>
        <rFont val="Malgun Gothic"/>
        <family val="0"/>
        <charset val="1"/>
      </rPr>
      <t xml:space="preserve">PUAC </t>
    </r>
    <r>
      <rPr>
        <sz val="10"/>
        <rFont val="Noto Sans CJK SC"/>
        <family val="2"/>
      </rPr>
      <t xml:space="preserve">준수 → 투하 후 이탈 기동</t>
    </r>
  </si>
  <si>
    <t xml:space="preserve">3-1</t>
  </si>
  <si>
    <r>
      <rPr>
        <b val="true"/>
        <sz val="10"/>
        <rFont val="Malgun Gothic"/>
        <family val="0"/>
        <charset val="1"/>
      </rPr>
      <t xml:space="preserve">■ P1  </t>
    </r>
    <r>
      <rPr>
        <b val="true"/>
        <sz val="10"/>
        <rFont val="Noto Sans CJK SC"/>
        <family val="2"/>
      </rPr>
      <t xml:space="preserve">조종석 진입 전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외부점검  </t>
    </r>
    <r>
      <rPr>
        <b val="true"/>
        <sz val="10"/>
        <rFont val="Malgun Gothic"/>
        <family val="0"/>
        <charset val="1"/>
      </rPr>
      <t xml:space="preserve">(Preflight Inspection) — </t>
    </r>
    <r>
      <rPr>
        <b val="true"/>
        <sz val="10"/>
        <rFont val="Noto Sans CJK SC"/>
        <family val="2"/>
      </rPr>
      <t xml:space="preserve">항공기 외부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무장 점검</t>
    </r>
    <r>
      <rPr>
        <b val="true"/>
        <sz val="10"/>
        <rFont val="Malgun Gothic"/>
        <family val="0"/>
        <charset val="1"/>
      </rPr>
      <t xml:space="preserve">(walkaround). DCS</t>
    </r>
    <r>
      <rPr>
        <b val="true"/>
        <sz val="10"/>
        <rFont val="Noto Sans CJK SC"/>
        <family val="2"/>
      </rPr>
      <t xml:space="preserve">에서는 미션에디터 로드아웃</t>
    </r>
    <r>
      <rPr>
        <b val="true"/>
        <sz val="10"/>
        <rFont val="Malgun Gothic"/>
        <family val="0"/>
        <charset val="1"/>
      </rPr>
      <t xml:space="preserve">·SMS INV</t>
    </r>
    <r>
      <rPr>
        <b val="true"/>
        <sz val="10"/>
        <rFont val="Noto Sans CJK SC"/>
        <family val="2"/>
      </rPr>
      <t xml:space="preserve">로 대체</t>
    </r>
    <r>
      <rPr>
        <b val="true"/>
        <sz val="10"/>
        <rFont val="Malgun Gothic"/>
        <family val="0"/>
        <charset val="1"/>
      </rPr>
      <t xml:space="preserve">.</t>
    </r>
  </si>
  <si>
    <t xml:space="preserve">P1</t>
  </si>
  <si>
    <r>
      <rPr>
        <sz val="10"/>
        <rFont val="Noto Sans CJK SC"/>
        <family val="2"/>
      </rPr>
      <t xml:space="preserve">조종석 진입 전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외부점검</t>
    </r>
  </si>
  <si>
    <t xml:space="preserve">N-37</t>
  </si>
  <si>
    <r>
      <rPr>
        <sz val="10"/>
        <rFont val="Noto Sans CJK SC"/>
        <family val="2"/>
      </rPr>
      <t xml:space="preserve">보충 절차 </t>
    </r>
    <r>
      <rPr>
        <sz val="10"/>
        <rFont val="Malgun Gothic"/>
        <family val="0"/>
        <charset val="1"/>
      </rPr>
      <t xml:space="preserve">- </t>
    </r>
    <r>
      <rPr>
        <sz val="10"/>
        <rFont val="Noto Sans CJK SC"/>
        <family val="2"/>
      </rPr>
      <t xml:space="preserve">참조 항목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외부점검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위험구역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선회반경</t>
    </r>
    <r>
      <rPr>
        <sz val="10"/>
        <rFont val="Malgun Gothic"/>
        <family val="0"/>
        <charset val="1"/>
      </rPr>
      <t xml:space="preserve">·G-Suit </t>
    </r>
    <r>
      <rPr>
        <sz val="10"/>
        <rFont val="Noto Sans CJK SC"/>
        <family val="2"/>
      </rPr>
      <t xml:space="preserve">호스경로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생소기지 절차</t>
    </r>
    <r>
      <rPr>
        <sz val="10"/>
        <rFont val="Malgun Gothic"/>
        <family val="0"/>
        <charset val="1"/>
      </rPr>
      <t xml:space="preserve">)</t>
    </r>
  </si>
  <si>
    <t xml:space="preserve">Supplemental Procedures - Reference Items (Exterior Inspection, Danger Areas, Turning Radius, G-Suit Hose Routing, Strange Field)</t>
  </si>
  <si>
    <r>
      <rPr>
        <sz val="10"/>
        <rFont val="Noto Sans CJK SC"/>
        <family val="2"/>
      </rPr>
      <t xml:space="preserve">비행 전 외부점검 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지상 이동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주기 계획 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참조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</si>
  <si>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F2 </t>
    </r>
    <r>
      <rPr>
        <sz val="10"/>
        <rFont val="Noto Sans CJK SC"/>
        <family val="2"/>
      </rPr>
      <t xml:space="preserve">외부 시점 워크어라운드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형상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탑재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손상</t>
    </r>
    <r>
      <rPr>
        <sz val="10"/>
        <rFont val="Malgun Gothic"/>
        <family val="0"/>
        <charset val="1"/>
      </rPr>
      <t xml:space="preserve">) → SMS/INV </t>
    </r>
    <r>
      <rPr>
        <sz val="10"/>
        <rFont val="Noto Sans CJK SC"/>
        <family val="2"/>
      </rPr>
      <t xml:space="preserve">탑재 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위험구역</t>
    </r>
    <r>
      <rPr>
        <sz val="10"/>
        <rFont val="Malgun Gothic"/>
        <family val="0"/>
        <charset val="1"/>
      </rPr>
      <t xml:space="preserve">·G-Suit·</t>
    </r>
    <r>
      <rPr>
        <sz val="10"/>
        <rFont val="Noto Sans CJK SC"/>
        <family val="2"/>
      </rPr>
      <t xml:space="preserve">생소기지 생략</t>
    </r>
    <r>
      <rPr>
        <sz val="10"/>
        <rFont val="Malgun Gothic"/>
        <family val="0"/>
        <charset val="1"/>
      </rPr>
      <t xml:space="preserve">)</t>
    </r>
  </si>
  <si>
    <t xml:space="preserve">2-32~2-42</t>
  </si>
  <si>
    <t xml:space="preserve">W-07</t>
  </si>
  <si>
    <t xml:space="preserve">저온기상 운용 — 조종석 탑승 전</t>
  </si>
  <si>
    <t xml:space="preserve">Cold Weather Operation - Before Entering Cockpit</t>
  </si>
  <si>
    <r>
      <rPr>
        <sz val="10"/>
        <rFont val="Noto Sans CJK SC"/>
        <family val="2"/>
      </rPr>
      <t xml:space="preserve">저온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강수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결빙 기상에서 비행 전 외부점검 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기온 </t>
    </r>
    <r>
      <rPr>
        <sz val="10"/>
        <rFont val="Malgun Gothic"/>
        <family val="0"/>
        <charset val="1"/>
      </rPr>
      <t xml:space="preserve">7°C </t>
    </r>
    <r>
      <rPr>
        <sz val="10"/>
        <rFont val="Noto Sans CJK SC"/>
        <family val="2"/>
      </rPr>
      <t xml:space="preserve">이하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습기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강수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노점 근접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</si>
  <si>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저온 외부점검 — 얼음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눈 제거는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미모델링</t>
    </r>
  </si>
  <si>
    <t xml:space="preserve">미구현</t>
  </si>
  <si>
    <t xml:space="preserve">7-5</t>
  </si>
  <si>
    <t xml:space="preserve">W-15</t>
  </si>
  <si>
    <t xml:space="preserve">고온기상 및 사막 지상운용</t>
  </si>
  <si>
    <t xml:space="preserve">Hot Weather and Desert Ground Operation</t>
  </si>
  <si>
    <r>
      <rPr>
        <sz val="10"/>
        <rFont val="Noto Sans CJK SC"/>
        <family val="2"/>
      </rPr>
      <t xml:space="preserve">사막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고온다습 환경에서 비행 전 외부점검 또는 비행 후 주기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</si>
  <si>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사막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고온 지상운용 — 캐노피 폐쇄만 가능</t>
    </r>
  </si>
  <si>
    <t xml:space="preserve">7-7</t>
  </si>
  <si>
    <t xml:space="preserve">PF-02</t>
  </si>
  <si>
    <r>
      <rPr>
        <sz val="10"/>
        <rFont val="Malgun Gothic"/>
        <family val="0"/>
        <charset val="1"/>
      </rPr>
      <t xml:space="preserve">M61A1 </t>
    </r>
    <r>
      <rPr>
        <sz val="10"/>
        <rFont val="Noto Sans CJK SC"/>
        <family val="2"/>
      </rPr>
      <t xml:space="preserve">기관포 점검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공포</t>
    </r>
    <r>
      <rPr>
        <sz val="10"/>
        <rFont val="Malgun Gothic"/>
        <family val="0"/>
        <charset val="1"/>
      </rPr>
      <t xml:space="preserve">)</t>
    </r>
  </si>
  <si>
    <t xml:space="preserve">M61A1 Gun Inspection (Hot Gun / Cold Gun)</t>
  </si>
  <si>
    <r>
      <rPr>
        <sz val="10"/>
        <rFont val="Noto Sans CJK SC"/>
        <family val="2"/>
      </rPr>
      <t xml:space="preserve">조종석 탑승 전 외부 점검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실기</t>
    </r>
    <r>
      <rPr>
        <sz val="10"/>
        <rFont val="Malgun Gothic"/>
        <family val="0"/>
        <charset val="1"/>
      </rPr>
      <t xml:space="preserve">) / DCS: </t>
    </r>
    <r>
      <rPr>
        <sz val="10"/>
        <rFont val="Noto Sans CJK SC"/>
        <family val="2"/>
      </rPr>
      <t xml:space="preserve">미션 에디터 로드아웃 설정 시 및 시동 후 </t>
    </r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페이지 확인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</si>
  <si>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 건 탄약 확인 → </t>
    </r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건 잔량 확인 → 필요 시 지상요원 재무장</t>
    </r>
  </si>
  <si>
    <t xml:space="preserve">1-534</t>
  </si>
  <si>
    <t xml:space="preserve">PF-03</t>
  </si>
  <si>
    <r>
      <rPr>
        <sz val="10"/>
        <rFont val="Noto Sans CJK SC"/>
        <family val="2"/>
      </rPr>
      <t xml:space="preserve">채프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플레어 디스펜서 점검</t>
    </r>
  </si>
  <si>
    <t xml:space="preserve">Chaff/Flare Dispenser Inspection</t>
  </si>
  <si>
    <r>
      <rPr>
        <sz val="10"/>
        <rFont val="Noto Sans CJK SC"/>
        <family val="2"/>
      </rPr>
      <t xml:space="preserve">조종석 탑승 전 외부 점검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실기</t>
    </r>
    <r>
      <rPr>
        <sz val="10"/>
        <rFont val="Malgun Gothic"/>
        <family val="0"/>
        <charset val="1"/>
      </rPr>
      <t xml:space="preserve">) / DCS: </t>
    </r>
    <r>
      <rPr>
        <sz val="10"/>
        <rFont val="Noto Sans CJK SC"/>
        <family val="2"/>
      </rPr>
      <t xml:space="preserve">미션 에디터 채프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플레어 수량 설정 시 및 </t>
    </r>
    <r>
      <rPr>
        <sz val="10"/>
        <rFont val="Malgun Gothic"/>
        <family val="0"/>
        <charset val="1"/>
      </rPr>
      <t xml:space="preserve">CMDS </t>
    </r>
    <r>
      <rPr>
        <sz val="10"/>
        <rFont val="Noto Sans CJK SC"/>
        <family val="2"/>
      </rPr>
      <t xml:space="preserve">셋업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</si>
  <si>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지상요원 채프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플레어 수량 → </t>
    </r>
    <r>
      <rPr>
        <sz val="10"/>
        <rFont val="Malgun Gothic"/>
        <family val="0"/>
        <charset val="1"/>
      </rPr>
      <t xml:space="preserve">CMDS CH/FL ON → </t>
    </r>
    <r>
      <rPr>
        <sz val="10"/>
        <rFont val="Noto Sans CJK SC"/>
        <family val="2"/>
      </rPr>
      <t xml:space="preserve">수량 표시 확인</t>
    </r>
  </si>
  <si>
    <t xml:space="preserve">1-536</t>
  </si>
  <si>
    <t xml:space="preserve">PF-04</t>
  </si>
  <si>
    <r>
      <rPr>
        <sz val="10"/>
        <rFont val="Noto Sans CJK SC"/>
        <family val="2"/>
      </rPr>
      <t xml:space="preserve">공대공 미사일 점검 </t>
    </r>
    <r>
      <rPr>
        <sz val="10"/>
        <rFont val="Malgun Gothic"/>
        <family val="0"/>
        <charset val="1"/>
      </rPr>
      <t xml:space="preserve">(AIM-9 </t>
    </r>
    <r>
      <rPr>
        <sz val="10"/>
        <rFont val="Noto Sans CJK SC"/>
        <family val="2"/>
      </rPr>
      <t xml:space="preserve">계열</t>
    </r>
    <r>
      <rPr>
        <sz val="10"/>
        <rFont val="Malgun Gothic"/>
        <family val="0"/>
        <charset val="1"/>
      </rPr>
      <t xml:space="preserve">, AIM-120)</t>
    </r>
  </si>
  <si>
    <t xml:space="preserve">Air-to-Air Missiles Inspection (AIM-9N/P/P-4/P-5, AIM-9L/M/S, AIM-120B)</t>
  </si>
  <si>
    <r>
      <rPr>
        <sz val="10"/>
        <rFont val="Noto Sans CJK SC"/>
        <family val="2"/>
      </rPr>
      <t xml:space="preserve">조종석 탑승 전 외부 점검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실기</t>
    </r>
    <r>
      <rPr>
        <sz val="10"/>
        <rFont val="Malgun Gothic"/>
        <family val="0"/>
        <charset val="1"/>
      </rPr>
      <t xml:space="preserve">) / DCS: </t>
    </r>
    <r>
      <rPr>
        <sz val="10"/>
        <rFont val="Noto Sans CJK SC"/>
        <family val="2"/>
      </rPr>
      <t xml:space="preserve">미션 에디터 로드아웃 설정 시 및 시동 후 </t>
    </r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확인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</si>
  <si>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 </t>
    </r>
    <r>
      <rPr>
        <sz val="10"/>
        <rFont val="Malgun Gothic"/>
        <family val="0"/>
        <charset val="1"/>
      </rPr>
      <t xml:space="preserve">A-A </t>
    </r>
    <r>
      <rPr>
        <sz val="10"/>
        <rFont val="Noto Sans CJK SC"/>
        <family val="2"/>
      </rPr>
      <t xml:space="preserve">로드아웃 → </t>
    </r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A-A SMS WARM/COOL </t>
    </r>
    <r>
      <rPr>
        <sz val="10"/>
        <rFont val="Noto Sans CJK SC"/>
        <family val="2"/>
      </rPr>
      <t xml:space="preserve">확인</t>
    </r>
  </si>
  <si>
    <t xml:space="preserve">1-537</t>
  </si>
  <si>
    <t xml:space="preserve">PF-05</t>
  </si>
  <si>
    <r>
      <rPr>
        <sz val="10"/>
        <rFont val="Noto Sans CJK SC"/>
        <family val="2"/>
      </rPr>
      <t xml:space="preserve">현수 장비 점검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파일런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런처</t>
    </r>
    <r>
      <rPr>
        <sz val="10"/>
        <rFont val="Malgun Gothic"/>
        <family val="0"/>
        <charset val="1"/>
      </rPr>
      <t xml:space="preserve">)</t>
    </r>
  </si>
  <si>
    <t xml:space="preserve">Suspension Equipment Inspection (Pylons, Racks, Launchers)</t>
  </si>
  <si>
    <r>
      <rPr>
        <sz val="10"/>
        <rFont val="Noto Sans CJK SC"/>
        <family val="2"/>
      </rPr>
      <t xml:space="preserve">조종석 탑승 전 외부 점검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실기</t>
    </r>
    <r>
      <rPr>
        <sz val="10"/>
        <rFont val="Malgun Gothic"/>
        <family val="0"/>
        <charset val="1"/>
      </rPr>
      <t xml:space="preserve">) / DCS: </t>
    </r>
    <r>
      <rPr>
        <sz val="10"/>
        <rFont val="Noto Sans CJK SC"/>
        <family val="2"/>
      </rPr>
      <t xml:space="preserve">미션 에디터 로드아웃 설정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</si>
  <si>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 스테이션 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런처 확인 → </t>
    </r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약어 확인</t>
    </r>
  </si>
  <si>
    <t xml:space="preserve">1-542</t>
  </si>
  <si>
    <t xml:space="preserve">PF-06</t>
  </si>
  <si>
    <r>
      <rPr>
        <sz val="10"/>
        <rFont val="Noto Sans CJK SC"/>
        <family val="2"/>
      </rPr>
      <t xml:space="preserve">기타 스토어 점검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연료탱크</t>
    </r>
    <r>
      <rPr>
        <sz val="10"/>
        <rFont val="Malgun Gothic"/>
        <family val="0"/>
        <charset val="1"/>
      </rPr>
      <t xml:space="preserve">, ECM </t>
    </r>
    <r>
      <rPr>
        <sz val="10"/>
        <rFont val="Noto Sans CJK SC"/>
        <family val="2"/>
      </rPr>
      <t xml:space="preserve">포드</t>
    </r>
    <r>
      <rPr>
        <sz val="10"/>
        <rFont val="Malgun Gothic"/>
        <family val="0"/>
        <charset val="1"/>
      </rPr>
      <t xml:space="preserve">, NVP, </t>
    </r>
    <r>
      <rPr>
        <sz val="10"/>
        <rFont val="Noto Sans CJK SC"/>
        <family val="2"/>
      </rPr>
      <t xml:space="preserve">타게팅 포드</t>
    </r>
    <r>
      <rPr>
        <sz val="10"/>
        <rFont val="Malgun Gothic"/>
        <family val="0"/>
        <charset val="1"/>
      </rPr>
      <t xml:space="preserve">)</t>
    </r>
  </si>
  <si>
    <t xml:space="preserve">Miscellaneous Stores Inspection (Fuel Tanks, ECM Pods, NVP, Targeting Pod)</t>
  </si>
  <si>
    <r>
      <rPr>
        <sz val="10"/>
        <rFont val="Noto Sans CJK SC"/>
        <family val="2"/>
      </rPr>
      <t xml:space="preserve">조종석 탑승 전 외부 점검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실기</t>
    </r>
    <r>
      <rPr>
        <sz val="10"/>
        <rFont val="Malgun Gothic"/>
        <family val="0"/>
        <charset val="1"/>
      </rPr>
      <t xml:space="preserve">) / DCS: </t>
    </r>
    <r>
      <rPr>
        <sz val="10"/>
        <rFont val="Noto Sans CJK SC"/>
        <family val="2"/>
      </rPr>
      <t xml:space="preserve">미션 에디터 로드아웃 설정 시 및 시동 후 </t>
    </r>
    <r>
      <rPr>
        <sz val="10"/>
        <rFont val="Malgun Gothic"/>
        <family val="0"/>
        <charset val="1"/>
      </rPr>
      <t xml:space="preserve">TGP/ECM </t>
    </r>
    <r>
      <rPr>
        <sz val="10"/>
        <rFont val="Noto Sans CJK SC"/>
        <family val="2"/>
      </rPr>
      <t xml:space="preserve">전원 인가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</si>
  <si>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로드아웃 확인 → 외부탱크 연료량</t>
    </r>
    <r>
      <rPr>
        <sz val="10"/>
        <rFont val="Malgun Gothic"/>
        <family val="0"/>
        <charset val="1"/>
      </rPr>
      <t xml:space="preserve">(EXT 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) → ECM </t>
    </r>
    <r>
      <rPr>
        <sz val="10"/>
        <rFont val="Noto Sans CJK SC"/>
        <family val="2"/>
      </rPr>
      <t xml:space="preserve">패널 →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전원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비디오 확인</t>
    </r>
  </si>
  <si>
    <t xml:space="preserve">1-550</t>
  </si>
  <si>
    <t xml:space="preserve">PF-07</t>
  </si>
  <si>
    <r>
      <rPr>
        <sz val="10"/>
        <rFont val="Noto Sans CJK SC"/>
        <family val="2"/>
      </rPr>
      <t xml:space="preserve">폭탄류 점검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일반목적탄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유도폭탄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클러스터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관통탄</t>
    </r>
    <r>
      <rPr>
        <sz val="10"/>
        <rFont val="Malgun Gothic"/>
        <family val="0"/>
        <charset val="1"/>
      </rPr>
      <t xml:space="preserve">)</t>
    </r>
  </si>
  <si>
    <t xml:space="preserve">Bombs Inspection (General Purpose, Guided, Cluster, Penetrator)</t>
  </si>
  <si>
    <r>
      <rPr>
        <sz val="10"/>
        <rFont val="Noto Sans CJK SC"/>
        <family val="2"/>
      </rPr>
      <t xml:space="preserve">조종석 탑승 전 외부 점검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실기</t>
    </r>
    <r>
      <rPr>
        <sz val="10"/>
        <rFont val="Malgun Gothic"/>
        <family val="0"/>
        <charset val="1"/>
      </rPr>
      <t xml:space="preserve">) / DCS: </t>
    </r>
    <r>
      <rPr>
        <sz val="10"/>
        <rFont val="Noto Sans CJK SC"/>
        <family val="2"/>
      </rPr>
      <t xml:space="preserve">미션 에디터 로드아웃 설정 시 및 시동 후 </t>
    </r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확인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</si>
  <si>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 폭탄 로드아웃 → </t>
    </r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A-G SMS </t>
    </r>
    <r>
      <rPr>
        <sz val="10"/>
        <rFont val="Noto Sans CJK SC"/>
        <family val="2"/>
      </rPr>
      <t xml:space="preserve">퓨즈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프로파일 확인</t>
    </r>
  </si>
  <si>
    <t xml:space="preserve">1-553</t>
  </si>
  <si>
    <t xml:space="preserve">PF-08</t>
  </si>
  <si>
    <r>
      <rPr>
        <sz val="10"/>
        <rFont val="Noto Sans CJK SC"/>
        <family val="2"/>
      </rPr>
      <t xml:space="preserve">신관 점검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노즈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테일 기계식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전자식 신관</t>
    </r>
    <r>
      <rPr>
        <sz val="10"/>
        <rFont val="Malgun Gothic"/>
        <family val="0"/>
        <charset val="1"/>
      </rPr>
      <t xml:space="preserve">)</t>
    </r>
  </si>
  <si>
    <t xml:space="preserve">Fuzes Inspection (Nose/Tail Mechanical and Electronic Fuzes)</t>
  </si>
  <si>
    <r>
      <rPr>
        <sz val="10"/>
        <rFont val="Noto Sans CJK SC"/>
        <family val="2"/>
      </rPr>
      <t xml:space="preserve">조종석 탑승 전 외부 점검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실기</t>
    </r>
    <r>
      <rPr>
        <sz val="10"/>
        <rFont val="Malgun Gothic"/>
        <family val="0"/>
        <charset val="1"/>
      </rPr>
      <t xml:space="preserve">) / DCS: </t>
    </r>
    <r>
      <rPr>
        <sz val="10"/>
        <rFont val="Noto Sans CJK SC"/>
        <family val="2"/>
      </rPr>
      <t xml:space="preserve">미션 에디터 무장 옵션 설정 시 및 </t>
    </r>
    <r>
      <rPr>
        <sz val="10"/>
        <rFont val="Malgun Gothic"/>
        <family val="0"/>
        <charset val="1"/>
      </rPr>
      <t xml:space="preserve">A-G SMS </t>
    </r>
    <r>
      <rPr>
        <sz val="10"/>
        <rFont val="Noto Sans CJK SC"/>
        <family val="2"/>
      </rPr>
      <t xml:space="preserve">프로파일 설정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</si>
  <si>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 신관 옵션 → </t>
    </r>
    <r>
      <rPr>
        <sz val="10"/>
        <rFont val="Malgun Gothic"/>
        <family val="0"/>
        <charset val="1"/>
      </rPr>
      <t xml:space="preserve">SMS CNTL AD/BA·HoF/RPM </t>
    </r>
    <r>
      <rPr>
        <sz val="10"/>
        <rFont val="Noto Sans CJK SC"/>
        <family val="2"/>
      </rPr>
      <t xml:space="preserve">확인</t>
    </r>
  </si>
  <si>
    <t xml:space="preserve">1-562</t>
  </si>
  <si>
    <t xml:space="preserve">PF-09</t>
  </si>
  <si>
    <r>
      <rPr>
        <sz val="10"/>
        <rFont val="Noto Sans CJK SC"/>
        <family val="2"/>
      </rPr>
      <t xml:space="preserve">암밍 와이어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랜야드 점검</t>
    </r>
  </si>
  <si>
    <t xml:space="preserve">Arming Wires/Lanyards Inspection</t>
  </si>
  <si>
    <r>
      <rPr>
        <sz val="10"/>
        <rFont val="Noto Sans CJK SC"/>
        <family val="2"/>
      </rPr>
      <t xml:space="preserve">조종석 탑승 전 외부 점검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실기</t>
    </r>
    <r>
      <rPr>
        <sz val="10"/>
        <rFont val="Malgun Gothic"/>
        <family val="0"/>
        <charset val="1"/>
      </rPr>
      <t xml:space="preserve">) / DCS: A-G SMS </t>
    </r>
    <r>
      <rPr>
        <sz val="10"/>
        <rFont val="Noto Sans CJK SC"/>
        <family val="2"/>
      </rPr>
      <t xml:space="preserve">퓨즈 옵션 설정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</si>
  <si>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SMS </t>
    </r>
    <r>
      <rPr>
        <sz val="10"/>
        <rFont val="Noto Sans CJK SC"/>
        <family val="2"/>
      </rPr>
      <t xml:space="preserve">퓨즈 옵션으로 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저항력 선택 → 로드아웃 확인</t>
    </r>
  </si>
  <si>
    <t xml:space="preserve">1-579</t>
  </si>
  <si>
    <t xml:space="preserve">PF-10</t>
  </si>
  <si>
    <r>
      <rPr>
        <sz val="10"/>
        <rFont val="Noto Sans CJK SC"/>
        <family val="2"/>
      </rPr>
      <t xml:space="preserve">로켓 및 공대지 미사일 점검 </t>
    </r>
    <r>
      <rPr>
        <sz val="10"/>
        <rFont val="Malgun Gothic"/>
        <family val="0"/>
        <charset val="1"/>
      </rPr>
      <t xml:space="preserve">(AGM-88, AGM-65)</t>
    </r>
  </si>
  <si>
    <t xml:space="preserve">Rockets and Air-to-Ground Missiles Inspection (AGM-88, AGM-65)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</si>
  <si>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 로켓</t>
    </r>
    <r>
      <rPr>
        <sz val="10"/>
        <rFont val="Malgun Gothic"/>
        <family val="0"/>
        <charset val="1"/>
      </rPr>
      <t xml:space="preserve">/HARM/MAV </t>
    </r>
    <r>
      <rPr>
        <sz val="10"/>
        <rFont val="Noto Sans CJK SC"/>
        <family val="2"/>
      </rPr>
      <t xml:space="preserve">로드아웃 → </t>
    </r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비행 중</t>
    </r>
    <r>
      <rPr>
        <sz val="10"/>
        <rFont val="Malgun Gothic"/>
        <family val="0"/>
        <charset val="1"/>
      </rPr>
      <t xml:space="preserve">) MAV PWR·WPN </t>
    </r>
    <r>
      <rPr>
        <sz val="10"/>
        <rFont val="Noto Sans CJK SC"/>
        <family val="2"/>
      </rPr>
      <t xml:space="preserve">비디오 확인</t>
    </r>
  </si>
  <si>
    <t xml:space="preserve">1-640</t>
  </si>
  <si>
    <t xml:space="preserve">PF-11</t>
  </si>
  <si>
    <r>
      <rPr>
        <sz val="10"/>
        <rFont val="Noto Sans CJK SC"/>
        <family val="2"/>
      </rPr>
      <t xml:space="preserve">훈련탄 점검 </t>
    </r>
    <r>
      <rPr>
        <sz val="10"/>
        <rFont val="Malgun Gothic"/>
        <family val="0"/>
        <charset val="1"/>
      </rPr>
      <t xml:space="preserve">(SUU-20, BDU-33, MK 106, AGTS, ACMI </t>
    </r>
    <r>
      <rPr>
        <sz val="10"/>
        <rFont val="Noto Sans CJK SC"/>
        <family val="2"/>
      </rPr>
      <t xml:space="preserve">포드</t>
    </r>
    <r>
      <rPr>
        <sz val="10"/>
        <rFont val="Malgun Gothic"/>
        <family val="0"/>
        <charset val="1"/>
      </rPr>
      <t xml:space="preserve">)</t>
    </r>
  </si>
  <si>
    <t xml:space="preserve">Training Munitions Inspection (SUU-20, BDU-33, MK 106, AGTS, ACMI Pod)</t>
  </si>
  <si>
    <r>
      <rPr>
        <sz val="10"/>
        <rFont val="Noto Sans CJK SC"/>
        <family val="2"/>
      </rPr>
      <t xml:space="preserve">조종석 탑승 전 외부 점검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훈련 임무</t>
    </r>
    <r>
      <rPr>
        <sz val="10"/>
        <rFont val="Malgun Gothic"/>
        <family val="0"/>
        <charset val="1"/>
      </rPr>
      <t xml:space="preserve">) / DCS: </t>
    </r>
    <r>
      <rPr>
        <sz val="10"/>
        <rFont val="Noto Sans CJK SC"/>
        <family val="2"/>
      </rPr>
      <t xml:space="preserve">미션 에디터 로드아웃 설정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</si>
  <si>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미션 에디터 </t>
    </r>
    <r>
      <rPr>
        <sz val="10"/>
        <rFont val="Malgun Gothic"/>
        <family val="0"/>
        <charset val="1"/>
      </rPr>
      <t xml:space="preserve">BDU-33 </t>
    </r>
    <r>
      <rPr>
        <sz val="10"/>
        <rFont val="Noto Sans CJK SC"/>
        <family val="2"/>
      </rPr>
      <t xml:space="preserve">로드아웃 → </t>
    </r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확인 </t>
    </r>
    <r>
      <rPr>
        <sz val="10"/>
        <rFont val="Malgun Gothic"/>
        <family val="0"/>
        <charset val="1"/>
      </rPr>
      <t xml:space="preserve">(SUU-20/AGTS/ACMI </t>
    </r>
    <r>
      <rPr>
        <sz val="10"/>
        <rFont val="Noto Sans CJK SC"/>
        <family val="2"/>
      </rPr>
      <t xml:space="preserve">없음</t>
    </r>
    <r>
      <rPr>
        <sz val="10"/>
        <rFont val="Malgun Gothic"/>
        <family val="0"/>
        <charset val="1"/>
      </rPr>
      <t xml:space="preserve">)</t>
    </r>
  </si>
  <si>
    <t xml:space="preserve">1-645</t>
  </si>
  <si>
    <t xml:space="preserve">PF-01</t>
  </si>
  <si>
    <r>
      <rPr>
        <sz val="10"/>
        <rFont val="Noto Sans CJK SC"/>
        <family val="2"/>
      </rPr>
      <t xml:space="preserve">내부 점검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조종석 탑승 전</t>
    </r>
    <r>
      <rPr>
        <sz val="10"/>
        <rFont val="Malgun Gothic"/>
        <family val="0"/>
        <charset val="1"/>
      </rPr>
      <t xml:space="preserve">)</t>
    </r>
  </si>
  <si>
    <t xml:space="preserve">Interior Inspection (Prior to Entering Cockpit)</t>
  </si>
  <si>
    <r>
      <rPr>
        <sz val="10"/>
        <rFont val="Noto Sans CJK SC"/>
        <family val="2"/>
      </rPr>
      <t xml:space="preserve">조종석 탑승 직전</t>
    </r>
    <r>
      <rPr>
        <sz val="10"/>
        <rFont val="Malgun Gothic"/>
        <family val="0"/>
        <charset val="1"/>
      </rPr>
      <t xml:space="preserve">(AGTS </t>
    </r>
    <r>
      <rPr>
        <sz val="10"/>
        <rFont val="Noto Sans CJK SC"/>
        <family val="2"/>
      </rPr>
      <t xml:space="preserve">견인 표적 세트 장착 임무 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</si>
  <si>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AGTS </t>
    </r>
    <r>
      <rPr>
        <sz val="10"/>
        <rFont val="Noto Sans CJK SC"/>
        <family val="2"/>
      </rPr>
      <t xml:space="preserve">제어반 점검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해당 없음</t>
    </r>
  </si>
  <si>
    <t xml:space="preserve">1-650</t>
  </si>
  <si>
    <r>
      <rPr>
        <b val="true"/>
        <sz val="10"/>
        <rFont val="Malgun Gothic"/>
        <family val="0"/>
        <charset val="1"/>
      </rPr>
      <t xml:space="preserve">■ P2  </t>
    </r>
    <r>
      <rPr>
        <b val="true"/>
        <sz val="10"/>
        <rFont val="Noto Sans CJK SC"/>
        <family val="2"/>
      </rPr>
      <t xml:space="preserve">전원 인가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시동 전  </t>
    </r>
    <r>
      <rPr>
        <b val="true"/>
        <sz val="10"/>
        <rFont val="Malgun Gothic"/>
        <family val="0"/>
        <charset val="1"/>
      </rPr>
      <t xml:space="preserve">(Before Engine Start) — </t>
    </r>
    <r>
      <rPr>
        <b val="true"/>
        <sz val="10"/>
        <rFont val="Noto Sans CJK SC"/>
        <family val="2"/>
      </rPr>
      <t xml:space="preserve">배터리</t>
    </r>
    <r>
      <rPr>
        <b val="true"/>
        <sz val="10"/>
        <rFont val="Malgun Gothic"/>
        <family val="0"/>
        <charset val="1"/>
      </rPr>
      <t xml:space="preserve">/MAIN PWR, </t>
    </r>
    <r>
      <rPr>
        <b val="true"/>
        <sz val="10"/>
        <rFont val="Noto Sans CJK SC"/>
        <family val="2"/>
      </rPr>
      <t xml:space="preserve">시동 전 점검</t>
    </r>
    <r>
      <rPr>
        <b val="true"/>
        <sz val="10"/>
        <rFont val="Malgun Gothic"/>
        <family val="0"/>
        <charset val="1"/>
      </rPr>
      <t xml:space="preserve">.</t>
    </r>
  </si>
  <si>
    <t xml:space="preserve">P2</t>
  </si>
  <si>
    <r>
      <rPr>
        <sz val="10"/>
        <rFont val="Noto Sans CJK SC"/>
        <family val="2"/>
      </rPr>
      <t xml:space="preserve">전원 인가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시동 전</t>
    </r>
  </si>
  <si>
    <t xml:space="preserve">N-01</t>
  </si>
  <si>
    <t xml:space="preserve">조종석 진입</t>
  </si>
  <si>
    <t xml:space="preserve">Cockpit Access</t>
  </si>
  <si>
    <r>
      <rPr>
        <sz val="10"/>
        <rFont val="Noto Sans CJK SC"/>
        <family val="2"/>
      </rPr>
      <t xml:space="preserve">외부점검 완료 후 조종석 진입 시</t>
    </r>
    <r>
      <rPr>
        <sz val="10"/>
        <rFont val="Malgun Gothic"/>
        <family val="0"/>
        <charset val="1"/>
      </rPr>
      <t xml:space="preserve">(DCS: </t>
    </r>
    <r>
      <rPr>
        <sz val="10"/>
        <rFont val="Noto Sans CJK SC"/>
        <family val="2"/>
      </rPr>
      <t xml:space="preserve">콜드</t>
    </r>
    <r>
      <rPr>
        <sz val="10"/>
        <rFont val="Malgun Gothic"/>
        <family val="0"/>
        <charset val="1"/>
      </rPr>
      <t xml:space="preserve">&amp;</t>
    </r>
    <r>
      <rPr>
        <sz val="10"/>
        <rFont val="Noto Sans CJK SC"/>
        <family val="2"/>
      </rPr>
      <t xml:space="preserve">다크 램프 스타트 미션 슬롯 진입 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</si>
  <si>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캐노피 </t>
    </r>
    <r>
      <rPr>
        <sz val="10"/>
        <rFont val="Malgun Gothic"/>
        <family val="0"/>
        <charset val="1"/>
      </rPr>
      <t xml:space="preserve">OPEN(</t>
    </r>
    <r>
      <rPr>
        <sz val="10"/>
        <rFont val="Noto Sans CJK SC"/>
        <family val="2"/>
      </rPr>
      <t xml:space="preserve">스파이더 가드 개방 → </t>
    </r>
    <r>
      <rPr>
        <sz val="10"/>
        <rFont val="Malgun Gothic"/>
        <family val="0"/>
        <charset val="1"/>
      </rPr>
      <t xml:space="preserve">Canopy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UP / LCTRL+C) → </t>
    </r>
    <r>
      <rPr>
        <sz val="10"/>
        <rFont val="Noto Sans CJK SC"/>
        <family val="2"/>
      </rPr>
      <t xml:space="preserve">착석 상태 확인</t>
    </r>
  </si>
  <si>
    <t xml:space="preserve">2-2</t>
  </si>
  <si>
    <t xml:space="preserve">N-02</t>
  </si>
  <si>
    <t xml:space="preserve">조종석 진입 전 점검</t>
  </si>
  <si>
    <t xml:space="preserve">Before Entering Cockpit</t>
  </si>
  <si>
    <r>
      <rPr>
        <sz val="10"/>
        <rFont val="Noto Sans CJK SC"/>
        <family val="2"/>
      </rPr>
      <t xml:space="preserve">조종석 진입 직후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착석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하네스 체결 전</t>
    </r>
  </si>
  <si>
    <r>
      <rPr>
        <sz val="10"/>
        <rFont val="Noto Sans CJK SC"/>
        <family val="2"/>
      </rPr>
      <t xml:space="preserve">사출레버 </t>
    </r>
    <r>
      <rPr>
        <sz val="10"/>
        <rFont val="Malgun Gothic"/>
        <family val="0"/>
        <charset val="1"/>
      </rPr>
      <t xml:space="preserve">SAFE(UP) → MAIN PWR OFF → </t>
    </r>
    <r>
      <rPr>
        <sz val="10"/>
        <rFont val="Noto Sans CJK SC"/>
        <family val="2"/>
      </rPr>
      <t xml:space="preserve">오디오 </t>
    </r>
    <r>
      <rPr>
        <sz val="10"/>
        <rFont val="Malgun Gothic"/>
        <family val="0"/>
        <charset val="1"/>
      </rPr>
      <t xml:space="preserve">SQL/</t>
    </r>
    <r>
      <rPr>
        <sz val="10"/>
        <rFont val="Noto Sans CJK SC"/>
        <family val="2"/>
      </rPr>
      <t xml:space="preserve">볼륨 </t>
    </r>
    <r>
      <rPr>
        <sz val="10"/>
        <rFont val="Malgun Gothic"/>
        <family val="0"/>
        <charset val="1"/>
      </rPr>
      <t xml:space="preserve">CCW → ALT GEAR IN → ALT FLAPS NORM → GND JETT OFF → HOOK UP → </t>
    </r>
    <r>
      <rPr>
        <sz val="10"/>
        <rFont val="Noto Sans CJK SC"/>
        <family val="2"/>
      </rPr>
      <t xml:space="preserve">실내조명 </t>
    </r>
    <r>
      <rPr>
        <sz val="10"/>
        <rFont val="Malgun Gothic"/>
        <family val="0"/>
        <charset val="1"/>
      </rPr>
      <t xml:space="preserve">OFF → OXY OFF/100%</t>
    </r>
  </si>
  <si>
    <t xml:space="preserve">N-03</t>
  </si>
  <si>
    <r>
      <rPr>
        <sz val="10"/>
        <rFont val="Noto Sans CJK SC"/>
        <family val="2"/>
      </rPr>
      <t xml:space="preserve">조종석 내부 점검 </t>
    </r>
    <r>
      <rPr>
        <sz val="10"/>
        <rFont val="Malgun Gothic"/>
        <family val="0"/>
        <charset val="1"/>
      </rPr>
      <t xml:space="preserve">- </t>
    </r>
    <r>
      <rPr>
        <sz val="10"/>
        <rFont val="Noto Sans CJK SC"/>
        <family val="2"/>
      </rPr>
      <t xml:space="preserve">좌측 콘솔</t>
    </r>
  </si>
  <si>
    <t xml:space="preserve">Cockpit Interior Check - Left Console</t>
  </si>
  <si>
    <r>
      <rPr>
        <sz val="10"/>
        <rFont val="Noto Sans CJK SC"/>
        <family val="2"/>
      </rPr>
      <t xml:space="preserve">착석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하네스 체결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러더 페달 조절 후</t>
    </r>
    <r>
      <rPr>
        <sz val="10"/>
        <rFont val="Malgun Gothic"/>
        <family val="0"/>
        <charset val="1"/>
      </rPr>
      <t xml:space="preserve">, MAIN PWR </t>
    </r>
    <r>
      <rPr>
        <sz val="10"/>
        <rFont val="Noto Sans CJK SC"/>
        <family val="2"/>
      </rPr>
      <t xml:space="preserve">인가 전</t>
    </r>
  </si>
  <si>
    <r>
      <rPr>
        <sz val="10"/>
        <rFont val="Malgun Gothic"/>
        <family val="0"/>
        <charset val="1"/>
      </rPr>
      <t xml:space="preserve">PROBE HEAT OFF → FLCS PWR TEST NORM → DBU OFF → ALT FLAPS NORM → LEF AUTO → BIT OFF → TRIM NORM/</t>
    </r>
    <r>
      <rPr>
        <sz val="10"/>
        <rFont val="Noto Sans CJK SC"/>
        <family val="2"/>
      </rPr>
      <t xml:space="preserve">트림 </t>
    </r>
    <r>
      <rPr>
        <sz val="10"/>
        <rFont val="Malgun Gothic"/>
        <family val="0"/>
        <charset val="1"/>
      </rPr>
      <t xml:space="preserve">0 → FUEL MASTER/ENG FEED NORM/AR CLOSE → IFF STBY/C&amp;I BACKUP → EPU NORM/MAIN PWR OFF → AVTR·ECM OFF → COMM1/2 ON·SQL → ENG CONT PRI/JFS OFF →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 → SPD BRK FWD/DOGFIGHT Center</t>
    </r>
  </si>
  <si>
    <t xml:space="preserve">2-3~2-4</t>
  </si>
  <si>
    <t xml:space="preserve">N-04</t>
  </si>
  <si>
    <r>
      <rPr>
        <sz val="10"/>
        <rFont val="Noto Sans CJK SC"/>
        <family val="2"/>
      </rPr>
      <t xml:space="preserve">조종석 내부 점검 </t>
    </r>
    <r>
      <rPr>
        <sz val="10"/>
        <rFont val="Malgun Gothic"/>
        <family val="0"/>
        <charset val="1"/>
      </rPr>
      <t xml:space="preserve">- </t>
    </r>
    <r>
      <rPr>
        <sz val="10"/>
        <rFont val="Noto Sans CJK SC"/>
        <family val="2"/>
      </rPr>
      <t xml:space="preserve">좌측 보조 콘솔</t>
    </r>
  </si>
  <si>
    <t xml:space="preserve">Cockpit Interior Check - Left Auxiliary Console</t>
  </si>
  <si>
    <r>
      <rPr>
        <sz val="10"/>
        <rFont val="Noto Sans CJK SC"/>
        <family val="2"/>
      </rPr>
      <t xml:space="preserve">좌측 콘솔 점검</t>
    </r>
    <r>
      <rPr>
        <sz val="10"/>
        <rFont val="Malgun Gothic"/>
        <family val="0"/>
        <charset val="1"/>
      </rPr>
      <t xml:space="preserve">(N-03) </t>
    </r>
    <r>
      <rPr>
        <sz val="10"/>
        <rFont val="Noto Sans CJK SC"/>
        <family val="2"/>
      </rPr>
      <t xml:space="preserve">완료 직후</t>
    </r>
  </si>
  <si>
    <r>
      <rPr>
        <sz val="10"/>
        <rFont val="Malgun Gothic"/>
        <family val="0"/>
        <charset val="1"/>
      </rPr>
      <t xml:space="preserve">ALT GEAR IN → CMDS </t>
    </r>
    <r>
      <rPr>
        <sz val="10"/>
        <rFont val="Noto Sans CJK SC"/>
        <family val="2"/>
      </rPr>
      <t xml:space="preserve">전원 </t>
    </r>
    <r>
      <rPr>
        <sz val="10"/>
        <rFont val="Malgun Gothic"/>
        <family val="0"/>
        <charset val="1"/>
      </rPr>
      <t xml:space="preserve">OFF/MODE OFF → RF NORM → LASER ARM OFF → HUD </t>
    </r>
    <r>
      <rPr>
        <sz val="10"/>
        <rFont val="Noto Sans CJK SC"/>
        <family val="2"/>
      </rPr>
      <t xml:space="preserve">패널 설정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고도계 </t>
    </r>
    <r>
      <rPr>
        <sz val="10"/>
        <rFont val="Malgun Gothic"/>
        <family val="0"/>
        <charset val="1"/>
      </rPr>
      <t xml:space="preserve">QNH → FUEL QTY NORM/EXT TRANS NORM → STORES CONFIG CAT I/III → LDG/TAXI LT OFF → LG DN → GND JETT OFF → BRAKES CHAN 1/PARKING BRAKE → HOOK UP → EHSI </t>
    </r>
    <r>
      <rPr>
        <sz val="10"/>
        <rFont val="Noto Sans CJK SC"/>
        <family val="2"/>
      </rPr>
      <t xml:space="preserve">모드</t>
    </r>
  </si>
  <si>
    <t xml:space="preserve">2-4~2-5</t>
  </si>
  <si>
    <t xml:space="preserve">N-05</t>
  </si>
  <si>
    <r>
      <rPr>
        <sz val="10"/>
        <rFont val="Noto Sans CJK SC"/>
        <family val="2"/>
      </rPr>
      <t xml:space="preserve">조종석 내부 점검 </t>
    </r>
    <r>
      <rPr>
        <sz val="10"/>
        <rFont val="Malgun Gothic"/>
        <family val="0"/>
        <charset val="1"/>
      </rPr>
      <t xml:space="preserve">- </t>
    </r>
    <r>
      <rPr>
        <sz val="10"/>
        <rFont val="Noto Sans CJK SC"/>
        <family val="2"/>
      </rPr>
      <t xml:space="preserve">계기판</t>
    </r>
  </si>
  <si>
    <t xml:space="preserve">Cockpit Interior Check - Instrument Panel</t>
  </si>
  <si>
    <r>
      <rPr>
        <sz val="10"/>
        <rFont val="Noto Sans CJK SC"/>
        <family val="2"/>
      </rPr>
      <t xml:space="preserve">좌측 보조 콘솔 점검</t>
    </r>
    <r>
      <rPr>
        <sz val="10"/>
        <rFont val="Malgun Gothic"/>
        <family val="0"/>
        <charset val="1"/>
      </rPr>
      <t xml:space="preserve">(N-04) </t>
    </r>
    <r>
      <rPr>
        <sz val="10"/>
        <rFont val="Noto Sans CJK SC"/>
        <family val="2"/>
      </rPr>
      <t xml:space="preserve">완료 직후</t>
    </r>
  </si>
  <si>
    <r>
      <rPr>
        <sz val="10"/>
        <rFont val="Malgun Gothic"/>
        <family val="0"/>
        <charset val="1"/>
      </rPr>
      <t xml:space="preserve">A/P ROLL ATT HOLD(</t>
    </r>
    <r>
      <rPr>
        <sz val="10"/>
        <rFont val="Noto Sans CJK SC"/>
        <family val="2"/>
      </rPr>
      <t xml:space="preserve">중앙</t>
    </r>
    <r>
      <rPr>
        <sz val="10"/>
        <rFont val="Malgun Gothic"/>
        <family val="0"/>
        <charset val="1"/>
      </rPr>
      <t xml:space="preserve">) → A/P PITCH A/P OFF → MASTER ARM OFF</t>
    </r>
  </si>
  <si>
    <t xml:space="preserve">적용</t>
  </si>
  <si>
    <t xml:space="preserve">2-5</t>
  </si>
  <si>
    <t xml:space="preserve">N-06</t>
  </si>
  <si>
    <r>
      <rPr>
        <sz val="10"/>
        <rFont val="Noto Sans CJK SC"/>
        <family val="2"/>
      </rPr>
      <t xml:space="preserve">조종석 내부 점검 </t>
    </r>
    <r>
      <rPr>
        <sz val="10"/>
        <rFont val="Malgun Gothic"/>
        <family val="0"/>
        <charset val="1"/>
      </rPr>
      <t xml:space="preserve">- </t>
    </r>
    <r>
      <rPr>
        <sz val="10"/>
        <rFont val="Noto Sans CJK SC"/>
        <family val="2"/>
      </rPr>
      <t xml:space="preserve">우측 보조 콘솔</t>
    </r>
  </si>
  <si>
    <t xml:space="preserve">Cockpit Interior Check - Right Auxiliary Console</t>
  </si>
  <si>
    <r>
      <rPr>
        <sz val="10"/>
        <rFont val="Noto Sans CJK SC"/>
        <family val="2"/>
      </rPr>
      <t xml:space="preserve">계기판 점검</t>
    </r>
    <r>
      <rPr>
        <sz val="10"/>
        <rFont val="Malgun Gothic"/>
        <family val="0"/>
        <charset val="1"/>
      </rPr>
      <t xml:space="preserve">(N-05) </t>
    </r>
    <r>
      <rPr>
        <sz val="10"/>
        <rFont val="Noto Sans CJK SC"/>
        <family val="2"/>
      </rPr>
      <t xml:space="preserve">완료 직후</t>
    </r>
  </si>
  <si>
    <r>
      <rPr>
        <sz val="10"/>
        <rFont val="Noto Sans CJK SC"/>
        <family val="2"/>
      </rPr>
      <t xml:space="preserve">시계 시각 확인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자동</t>
    </r>
    <r>
      <rPr>
        <sz val="10"/>
        <rFont val="Malgun Gothic"/>
        <family val="0"/>
        <charset val="1"/>
      </rPr>
      <t xml:space="preserve">) → (D</t>
    </r>
    <r>
      <rPr>
        <sz val="10"/>
        <rFont val="Noto Sans CJK SC"/>
        <family val="2"/>
      </rPr>
      <t xml:space="preserve">형 항목 생략</t>
    </r>
    <r>
      <rPr>
        <sz val="10"/>
        <rFont val="Malgun Gothic"/>
        <family val="0"/>
        <charset val="1"/>
      </rPr>
      <t xml:space="preserve">)</t>
    </r>
  </si>
  <si>
    <t xml:space="preserve">N-07</t>
  </si>
  <si>
    <r>
      <rPr>
        <sz val="10"/>
        <rFont val="Noto Sans CJK SC"/>
        <family val="2"/>
      </rPr>
      <t xml:space="preserve">조종석 내부 점검 </t>
    </r>
    <r>
      <rPr>
        <sz val="10"/>
        <rFont val="Malgun Gothic"/>
        <family val="0"/>
        <charset val="1"/>
      </rPr>
      <t xml:space="preserve">- </t>
    </r>
    <r>
      <rPr>
        <sz val="10"/>
        <rFont val="Noto Sans CJK SC"/>
        <family val="2"/>
      </rPr>
      <t xml:space="preserve">우측 콘솔</t>
    </r>
  </si>
  <si>
    <t xml:space="preserve">Cockpit Interior Check - Right Console</t>
  </si>
  <si>
    <r>
      <rPr>
        <sz val="10"/>
        <rFont val="Noto Sans CJK SC"/>
        <family val="2"/>
      </rPr>
      <t xml:space="preserve">우측 보조 콘솔 점검</t>
    </r>
    <r>
      <rPr>
        <sz val="10"/>
        <rFont val="Malgun Gothic"/>
        <family val="0"/>
        <charset val="1"/>
      </rPr>
      <t xml:space="preserve">(N-06) </t>
    </r>
    <r>
      <rPr>
        <sz val="10"/>
        <rFont val="Noto Sans CJK SC"/>
        <family val="2"/>
      </rPr>
      <t xml:space="preserve">완료 직후</t>
    </r>
  </si>
  <si>
    <r>
      <rPr>
        <sz val="10"/>
        <rFont val="Malgun Gothic"/>
        <family val="0"/>
        <charset val="1"/>
      </rPr>
      <t xml:space="preserve">SNSR PWR 4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OFF → HUD </t>
    </r>
    <r>
      <rPr>
        <sz val="10"/>
        <rFont val="Noto Sans CJK SC"/>
        <family val="2"/>
      </rPr>
      <t xml:space="preserve">패널 → </t>
    </r>
    <r>
      <rPr>
        <sz val="10"/>
        <rFont val="Malgun Gothic"/>
        <family val="0"/>
        <charset val="1"/>
      </rPr>
      <t xml:space="preserve">ZEROIZE OFF → </t>
    </r>
    <r>
      <rPr>
        <sz val="10"/>
        <rFont val="Noto Sans CJK SC"/>
        <family val="2"/>
      </rPr>
      <t xml:space="preserve">실내조명 → </t>
    </r>
    <r>
      <rPr>
        <sz val="10"/>
        <rFont val="Malgun Gothic"/>
        <family val="0"/>
        <charset val="1"/>
      </rPr>
      <t xml:space="preserve">VMS ON → TEMP AUTO/AIR SOURCE NORM → AVIONICS PWR 8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OFF → ANTI ICE AUTO → IFF/UHF ANT NORM → </t>
    </r>
    <r>
      <rPr>
        <sz val="10"/>
        <rFont val="Noto Sans CJK SC"/>
        <family val="2"/>
      </rPr>
      <t xml:space="preserve">산소 </t>
    </r>
    <r>
      <rPr>
        <sz val="10"/>
        <rFont val="Malgun Gothic"/>
        <family val="0"/>
        <charset val="1"/>
      </rPr>
      <t xml:space="preserve">ON/NORM/</t>
    </r>
    <r>
      <rPr>
        <sz val="10"/>
        <rFont val="Noto Sans CJK SC"/>
        <family val="2"/>
      </rPr>
      <t xml:space="preserve">압력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유량 확인</t>
    </r>
  </si>
  <si>
    <t xml:space="preserve">2-5~2-6</t>
  </si>
  <si>
    <t xml:space="preserve">N-08</t>
  </si>
  <si>
    <t xml:space="preserve">조종석 점검 완료 후 확인</t>
  </si>
  <si>
    <t xml:space="preserve">After Cockpit Check Is Complete - Verify</t>
  </si>
  <si>
    <r>
      <rPr>
        <sz val="10"/>
        <rFont val="Noto Sans CJK SC"/>
        <family val="2"/>
      </rPr>
      <t xml:space="preserve">조종석 내부 점검</t>
    </r>
    <r>
      <rPr>
        <sz val="10"/>
        <rFont val="Malgun Gothic"/>
        <family val="0"/>
        <charset val="1"/>
      </rPr>
      <t xml:space="preserve">(N-03~N-07) </t>
    </r>
    <r>
      <rPr>
        <sz val="10"/>
        <rFont val="Noto Sans CJK SC"/>
        <family val="2"/>
      </rPr>
      <t xml:space="preserve">완료 후</t>
    </r>
    <r>
      <rPr>
        <sz val="10"/>
        <rFont val="Malgun Gothic"/>
        <family val="0"/>
        <charset val="1"/>
      </rPr>
      <t xml:space="preserve">, MAIN PWR BATT </t>
    </r>
    <r>
      <rPr>
        <sz val="10"/>
        <rFont val="Noto Sans CJK SC"/>
        <family val="2"/>
      </rPr>
      <t xml:space="preserve">인가 직전</t>
    </r>
  </si>
  <si>
    <r>
      <rPr>
        <sz val="10"/>
        <rFont val="Malgun Gothic"/>
        <family val="0"/>
        <charset val="1"/>
      </rPr>
      <t xml:space="preserve">FUEL MASTER → ENG FEED NORM → EPU NORM → ENG CONT PRI →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 → LG DN → HOOK UP → MASTER ARM OFF → AIR SOURCE NORM</t>
    </r>
  </si>
  <si>
    <t xml:space="preserve">2-6~2-7</t>
  </si>
  <si>
    <t xml:space="preserve">N-09</t>
  </si>
  <si>
    <t xml:space="preserve">엔진 시동 전 절차</t>
  </si>
  <si>
    <t xml:space="preserve">Before Starting Engine</t>
  </si>
  <si>
    <r>
      <rPr>
        <sz val="10"/>
        <rFont val="Noto Sans CJK SC"/>
        <family val="2"/>
      </rPr>
      <t xml:space="preserve">조종석 점검 완료 후</t>
    </r>
    <r>
      <rPr>
        <sz val="10"/>
        <rFont val="Malgun Gothic"/>
        <family val="0"/>
        <charset val="1"/>
      </rPr>
      <t xml:space="preserve">, JFS </t>
    </r>
    <r>
      <rPr>
        <sz val="10"/>
        <rFont val="Noto Sans CJK SC"/>
        <family val="2"/>
      </rPr>
      <t xml:space="preserve">시동 직전</t>
    </r>
  </si>
  <si>
    <r>
      <rPr>
        <sz val="10"/>
        <rFont val="Malgun Gothic"/>
        <family val="0"/>
        <charset val="1"/>
      </rPr>
      <t xml:space="preserve">MAIN PWR BATT → FLCS RLY </t>
    </r>
    <r>
      <rPr>
        <sz val="10"/>
        <rFont val="Noto Sans CJK SC"/>
        <family val="2"/>
      </rPr>
      <t xml:space="preserve">점등 → </t>
    </r>
    <r>
      <rPr>
        <sz val="10"/>
        <rFont val="Malgun Gothic"/>
        <family val="0"/>
        <charset val="1"/>
      </rPr>
      <t xml:space="preserve">FLCS PWR TEST </t>
    </r>
    <r>
      <rPr>
        <sz val="10"/>
        <rFont val="Noto Sans CJK SC"/>
        <family val="2"/>
      </rPr>
      <t xml:space="preserve">홀드</t>
    </r>
    <r>
      <rPr>
        <sz val="10"/>
        <rFont val="Malgun Gothic"/>
        <family val="0"/>
        <charset val="1"/>
      </rPr>
      <t xml:space="preserve">(PWR 4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·TO FLCS·PMG) → </t>
    </r>
    <r>
      <rPr>
        <sz val="10"/>
        <rFont val="Noto Sans CJK SC"/>
        <family val="2"/>
      </rPr>
      <t xml:space="preserve">해제 → </t>
    </r>
    <r>
      <rPr>
        <sz val="10"/>
        <rFont val="Malgun Gothic"/>
        <family val="0"/>
        <charset val="1"/>
      </rPr>
      <t xml:space="preserve">MAIN PWR → EPU GEN/PMG </t>
    </r>
    <r>
      <rPr>
        <sz val="10"/>
        <rFont val="Noto Sans CJK SC"/>
        <family val="2"/>
      </rPr>
      <t xml:space="preserve">소등 → </t>
    </r>
    <r>
      <rPr>
        <sz val="10"/>
        <rFont val="Malgun Gothic"/>
        <family val="0"/>
        <charset val="1"/>
      </rPr>
      <t xml:space="preserve">UHF </t>
    </r>
    <r>
      <rPr>
        <sz val="10"/>
        <rFont val="Noto Sans CJK SC"/>
        <family val="2"/>
      </rPr>
      <t xml:space="preserve">백업 교신 → 파킹브레이크 </t>
    </r>
    <r>
      <rPr>
        <sz val="10"/>
        <rFont val="Malgun Gothic"/>
        <family val="0"/>
        <charset val="1"/>
      </rPr>
      <t xml:space="preserve">UP</t>
    </r>
  </si>
  <si>
    <t xml:space="preserve">2-7~2-8</t>
  </si>
  <si>
    <t xml:space="preserve">W-08</t>
  </si>
  <si>
    <t xml:space="preserve">저온기상 운용 — 엔진 시동 전</t>
  </si>
  <si>
    <t xml:space="preserve">Cold Weather Operation - Before Starting Engine</t>
  </si>
  <si>
    <r>
      <rPr>
        <sz val="10"/>
        <rFont val="Noto Sans CJK SC"/>
        <family val="2"/>
      </rPr>
      <t xml:space="preserve">외기온 </t>
    </r>
    <r>
      <rPr>
        <sz val="10"/>
        <rFont val="Malgun Gothic"/>
        <family val="0"/>
        <charset val="1"/>
      </rPr>
      <t xml:space="preserve">7°C(45°F) </t>
    </r>
    <r>
      <rPr>
        <sz val="10"/>
        <rFont val="Noto Sans CJK SC"/>
        <family val="2"/>
      </rPr>
      <t xml:space="preserve">이하이고 가시 습기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안개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눈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가 있는 조건에서 엔진 시동 준비 시</t>
    </r>
  </si>
  <si>
    <r>
      <rPr>
        <sz val="10"/>
        <rFont val="Malgun Gothic"/>
        <family val="0"/>
        <charset val="1"/>
      </rPr>
      <t xml:space="preserve">MAIN PWR → </t>
    </r>
    <r>
      <rPr>
        <sz val="10"/>
        <rFont val="Noto Sans CJK SC"/>
        <family val="2"/>
      </rPr>
      <t xml:space="preserve">캐노피 </t>
    </r>
    <r>
      <rPr>
        <sz val="10"/>
        <rFont val="Malgun Gothic"/>
        <family val="0"/>
        <charset val="1"/>
      </rPr>
      <t xml:space="preserve">DOWN &amp; CANOPY </t>
    </r>
    <r>
      <rPr>
        <sz val="10"/>
        <rFont val="Noto Sans CJK SC"/>
        <family val="2"/>
      </rPr>
      <t xml:space="preserve">등 소등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습기</t>
    </r>
    <r>
      <rPr>
        <sz val="10"/>
        <rFont val="Malgun Gothic"/>
        <family val="0"/>
        <charset val="1"/>
      </rPr>
      <t xml:space="preserve">+7°C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) ANTI ICE ON → JFS </t>
    </r>
    <r>
      <rPr>
        <sz val="10"/>
        <rFont val="Noto Sans CJK SC"/>
        <family val="2"/>
      </rPr>
      <t xml:space="preserve">시동</t>
    </r>
  </si>
  <si>
    <t xml:space="preserve">MP-20</t>
  </si>
  <si>
    <r>
      <rPr>
        <sz val="10"/>
        <rFont val="Noto Sans CJK SC"/>
        <family val="2"/>
      </rPr>
      <t xml:space="preserve">설계 시점</t>
    </r>
    <r>
      <rPr>
        <sz val="10"/>
        <rFont val="Malgun Gothic"/>
        <family val="0"/>
        <charset val="1"/>
      </rPr>
      <t xml:space="preserve">(Design Eye)</t>
    </r>
    <r>
      <rPr>
        <sz val="10"/>
        <rFont val="Noto Sans CJK SC"/>
        <family val="2"/>
      </rPr>
      <t xml:space="preserve">에 대한 좌석 조정 절차</t>
    </r>
  </si>
  <si>
    <t xml:space="preserve">Seat Adjustment for Design Eye Procedures</t>
  </si>
  <si>
    <r>
      <rPr>
        <sz val="10"/>
        <rFont val="Noto Sans CJK SC"/>
        <family val="2"/>
      </rPr>
      <t xml:space="preserve">조종석 진입 후 스트랩인 및 항공기 전원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배터리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외부전원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인가 직후</t>
    </r>
    <r>
      <rPr>
        <sz val="10"/>
        <rFont val="Malgun Gothic"/>
        <family val="0"/>
        <charset val="1"/>
      </rPr>
      <t xml:space="preserve">, HUD </t>
    </r>
    <r>
      <rPr>
        <sz val="10"/>
        <rFont val="Noto Sans CJK SC"/>
        <family val="2"/>
      </rPr>
      <t xml:space="preserve">켜진 상태</t>
    </r>
  </si>
  <si>
    <r>
      <rPr>
        <sz val="10"/>
        <rFont val="Malgun Gothic"/>
        <family val="0"/>
        <charset val="1"/>
      </rPr>
      <t xml:space="preserve">HUD TEST ON → Seat Adjust </t>
    </r>
    <r>
      <rPr>
        <sz val="10"/>
        <rFont val="Noto Sans CJK SC"/>
        <family val="2"/>
      </rPr>
      <t xml:space="preserve">상하 조정</t>
    </r>
    <r>
      <rPr>
        <sz val="10"/>
        <rFont val="Malgun Gothic"/>
        <family val="0"/>
        <charset val="1"/>
      </rPr>
      <t xml:space="preserve">(HUD </t>
    </r>
    <r>
      <rPr>
        <sz val="10"/>
        <rFont val="Noto Sans CJK SC"/>
        <family val="2"/>
      </rPr>
      <t xml:space="preserve">전체 가시</t>
    </r>
    <r>
      <rPr>
        <sz val="10"/>
        <rFont val="Malgun Gothic"/>
        <family val="0"/>
        <charset val="1"/>
      </rPr>
      <t xml:space="preserve">) → HUD TEST OFF</t>
    </r>
  </si>
  <si>
    <t xml:space="preserve">1-311</t>
  </si>
  <si>
    <r>
      <rPr>
        <b val="true"/>
        <sz val="10"/>
        <rFont val="Malgun Gothic"/>
        <family val="0"/>
        <charset val="1"/>
      </rPr>
      <t xml:space="preserve">■ P3  </t>
    </r>
    <r>
      <rPr>
        <b val="true"/>
        <sz val="10"/>
        <rFont val="Noto Sans CJK SC"/>
        <family val="2"/>
      </rPr>
      <t xml:space="preserve">엔진 시동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항전 전원  </t>
    </r>
    <r>
      <rPr>
        <b val="true"/>
        <sz val="10"/>
        <rFont val="Malgun Gothic"/>
        <family val="0"/>
        <charset val="1"/>
      </rPr>
      <t xml:space="preserve">(Engine Start / Avionics Power) — JFS </t>
    </r>
    <r>
      <rPr>
        <b val="true"/>
        <sz val="10"/>
        <rFont val="Noto Sans CJK SC"/>
        <family val="2"/>
      </rPr>
      <t xml:space="preserve">시동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발전기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항전 전원 인가</t>
    </r>
    <r>
      <rPr>
        <b val="true"/>
        <sz val="10"/>
        <rFont val="Malgun Gothic"/>
        <family val="0"/>
        <charset val="1"/>
      </rPr>
      <t xml:space="preserve">.</t>
    </r>
  </si>
  <si>
    <t xml:space="preserve">P3</t>
  </si>
  <si>
    <r>
      <rPr>
        <sz val="10"/>
        <rFont val="Noto Sans CJK SC"/>
        <family val="2"/>
      </rPr>
      <t xml:space="preserve">엔진 시동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항전 전원</t>
    </r>
  </si>
  <si>
    <t xml:space="preserve">N-10</t>
  </si>
  <si>
    <r>
      <rPr>
        <sz val="10"/>
        <rFont val="Noto Sans CJK SC"/>
        <family val="2"/>
      </rPr>
      <t xml:space="preserve">엔진 시동 </t>
    </r>
    <r>
      <rPr>
        <sz val="10"/>
        <rFont val="Malgun Gothic"/>
        <family val="0"/>
        <charset val="1"/>
      </rPr>
      <t xml:space="preserve">- PW-229</t>
    </r>
  </si>
  <si>
    <t xml:space="preserve">Starting Engine PW-229</t>
  </si>
  <si>
    <r>
      <rPr>
        <sz val="10"/>
        <rFont val="Malgun Gothic"/>
        <family val="0"/>
        <charset val="1"/>
      </rPr>
      <t xml:space="preserve">MAIN PWR </t>
    </r>
    <r>
      <rPr>
        <sz val="10"/>
        <rFont val="Noto Sans CJK SC"/>
        <family val="2"/>
      </rPr>
      <t xml:space="preserve">인가 및 시동 전 점검 완료 후</t>
    </r>
  </si>
  <si>
    <r>
      <rPr>
        <sz val="10"/>
        <rFont val="Noto Sans CJK SC"/>
        <family val="2"/>
      </rPr>
      <t xml:space="preserve">해당 없음 — </t>
    </r>
    <r>
      <rPr>
        <sz val="10"/>
        <rFont val="Malgun Gothic"/>
        <family val="0"/>
        <charset val="1"/>
      </rPr>
      <t xml:space="preserve">N-11(GE-129) </t>
    </r>
    <r>
      <rPr>
        <sz val="10"/>
        <rFont val="Noto Sans CJK SC"/>
        <family val="2"/>
      </rPr>
      <t xml:space="preserve">사용</t>
    </r>
  </si>
  <si>
    <t xml:space="preserve">2-8~2-9</t>
  </si>
  <si>
    <t xml:space="preserve">N-11</t>
  </si>
  <si>
    <r>
      <rPr>
        <sz val="10"/>
        <rFont val="Noto Sans CJK SC"/>
        <family val="2"/>
      </rPr>
      <t xml:space="preserve">엔진 시동 </t>
    </r>
    <r>
      <rPr>
        <sz val="10"/>
        <rFont val="Malgun Gothic"/>
        <family val="0"/>
        <charset val="1"/>
      </rPr>
      <t xml:space="preserve">- GE-129</t>
    </r>
  </si>
  <si>
    <t xml:space="preserve">Starting Engine GE-129</t>
  </si>
  <si>
    <r>
      <rPr>
        <sz val="10"/>
        <rFont val="Malgun Gothic"/>
        <family val="0"/>
        <charset val="1"/>
      </rPr>
      <t xml:space="preserve">MAIN PWR </t>
    </r>
    <r>
      <rPr>
        <sz val="10"/>
        <rFont val="Noto Sans CJK SC"/>
        <family val="2"/>
      </rPr>
      <t xml:space="preserve">인가</t>
    </r>
    <r>
      <rPr>
        <sz val="10"/>
        <rFont val="Malgun Gothic"/>
        <family val="0"/>
        <charset val="1"/>
      </rPr>
      <t xml:space="preserve">·EPU </t>
    </r>
    <r>
      <rPr>
        <sz val="10"/>
        <rFont val="Noto Sans CJK SC"/>
        <family val="2"/>
      </rPr>
      <t xml:space="preserve">등 소등 확인 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파킹브레이크 설정 상태</t>
    </r>
  </si>
  <si>
    <r>
      <rPr>
        <sz val="10"/>
        <rFont val="Malgun Gothic"/>
        <family val="0"/>
        <charset val="1"/>
      </rPr>
      <t xml:space="preserve">ENG FEED/AIR SOURCE NORM·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 → JFS START2 → JFS RUN </t>
    </r>
    <r>
      <rPr>
        <sz val="10"/>
        <rFont val="Noto Sans CJK SC"/>
        <family val="2"/>
      </rPr>
      <t xml:space="preserve">점등 → </t>
    </r>
    <r>
      <rPr>
        <sz val="10"/>
        <rFont val="Malgun Gothic"/>
        <family val="0"/>
        <charset val="1"/>
      </rPr>
      <t xml:space="preserve">20~25% RPM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IDLE → SEC </t>
    </r>
    <r>
      <rPr>
        <sz val="10"/>
        <rFont val="Noto Sans CJK SC"/>
        <family val="2"/>
      </rPr>
      <t xml:space="preserve">소등</t>
    </r>
    <r>
      <rPr>
        <sz val="10"/>
        <rFont val="Malgun Gothic"/>
        <family val="0"/>
        <charset val="1"/>
      </rPr>
      <t xml:space="preserve">(20%) → ENGINE </t>
    </r>
    <r>
      <rPr>
        <sz val="10"/>
        <rFont val="Noto Sans CJK SC"/>
        <family val="2"/>
      </rPr>
      <t xml:space="preserve">소등</t>
    </r>
    <r>
      <rPr>
        <sz val="10"/>
        <rFont val="Malgun Gothic"/>
        <family val="0"/>
        <charset val="1"/>
      </rPr>
      <t xml:space="preserve">(60%) → JFS OFF(55%) → HYD/OIL </t>
    </r>
    <r>
      <rPr>
        <sz val="10"/>
        <rFont val="Noto Sans CJK SC"/>
        <family val="2"/>
      </rPr>
      <t xml:space="preserve">소등 → </t>
    </r>
    <r>
      <rPr>
        <sz val="10"/>
        <rFont val="Malgun Gothic"/>
        <family val="0"/>
        <charset val="1"/>
      </rPr>
      <t xml:space="preserve">FF 700–1700/OIL 15+/NOZ 94+/RPM 62–80/FTIT ≤650/HYD 2850–3250</t>
    </r>
  </si>
  <si>
    <t xml:space="preserve">2-9~2-11</t>
  </si>
  <si>
    <t xml:space="preserve">N-29</t>
  </si>
  <si>
    <r>
      <rPr>
        <sz val="10"/>
        <rFont val="Noto Sans CJK SC"/>
        <family val="2"/>
      </rPr>
      <t xml:space="preserve">신속대응태세</t>
    </r>
    <r>
      <rPr>
        <sz val="10"/>
        <rFont val="Malgun Gothic"/>
        <family val="0"/>
        <charset val="1"/>
      </rPr>
      <t xml:space="preserve">(Quick Response) </t>
    </r>
    <r>
      <rPr>
        <sz val="10"/>
        <rFont val="Noto Sans CJK SC"/>
        <family val="2"/>
      </rPr>
      <t xml:space="preserve">항공기 절차</t>
    </r>
  </si>
  <si>
    <t xml:space="preserve">Aircraft On Quick Response Status</t>
  </si>
  <si>
    <r>
      <rPr>
        <sz val="10"/>
        <rFont val="Noto Sans CJK SC"/>
        <family val="2"/>
      </rPr>
      <t xml:space="preserve">스크램블 명령 수신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사전 준비</t>
    </r>
    <r>
      <rPr>
        <sz val="10"/>
        <rFont val="Malgun Gothic"/>
        <family val="0"/>
        <charset val="1"/>
      </rPr>
      <t xml:space="preserve">(N-28) </t>
    </r>
    <r>
      <rPr>
        <sz val="10"/>
        <rFont val="Noto Sans CJK SC"/>
        <family val="2"/>
      </rPr>
      <t xml:space="preserve">완료된 기체 탑승 시</t>
    </r>
  </si>
  <si>
    <r>
      <rPr>
        <sz val="10"/>
        <rFont val="Malgun Gothic"/>
        <family val="0"/>
        <charset val="1"/>
      </rPr>
      <t xml:space="preserve">BATT·FLCS RLY → MAIN PWR → JFS START2·IDLE → </t>
    </r>
    <r>
      <rPr>
        <sz val="10"/>
        <rFont val="Noto Sans CJK SC"/>
        <family val="2"/>
      </rPr>
      <t xml:space="preserve">캐노피 </t>
    </r>
    <r>
      <rPr>
        <sz val="10"/>
        <rFont val="Malgun Gothic"/>
        <family val="0"/>
        <charset val="1"/>
      </rPr>
      <t xml:space="preserve">DOWN → </t>
    </r>
    <r>
      <rPr>
        <sz val="10"/>
        <rFont val="Noto Sans CJK SC"/>
        <family val="2"/>
      </rPr>
      <t xml:space="preserve">계기 → </t>
    </r>
    <r>
      <rPr>
        <sz val="10"/>
        <rFont val="Malgun Gothic"/>
        <family val="0"/>
        <charset val="1"/>
      </rPr>
      <t xml:space="preserve">SNSR PWR → AVIONICS PWR → INS STOR HDG → FLCS BIT → MFD/SMS/HUD·C&amp;I UFC → INS NAV → EPU GEN/PMG </t>
    </r>
    <r>
      <rPr>
        <sz val="10"/>
        <rFont val="Noto Sans CJK SC"/>
        <family val="2"/>
      </rPr>
      <t xml:space="preserve">소등</t>
    </r>
  </si>
  <si>
    <t xml:space="preserve">2-30~2-31</t>
  </si>
  <si>
    <t xml:space="preserve">W-09</t>
  </si>
  <si>
    <t xml:space="preserve">저온기상 운용 — 엔진 시동</t>
  </si>
  <si>
    <t xml:space="preserve">Cold Weather Operation - Starting Engine</t>
  </si>
  <si>
    <r>
      <rPr>
        <sz val="10"/>
        <rFont val="Noto Sans CJK SC"/>
        <family val="2"/>
      </rPr>
      <t xml:space="preserve">기체가 </t>
    </r>
    <r>
      <rPr>
        <sz val="10"/>
        <rFont val="Malgun Gothic"/>
        <family val="0"/>
        <charset val="1"/>
      </rPr>
      <t xml:space="preserve">-29°C(-20°F)/-40°C </t>
    </r>
    <r>
      <rPr>
        <sz val="10"/>
        <rFont val="Noto Sans CJK SC"/>
        <family val="2"/>
      </rPr>
      <t xml:space="preserve">이하에서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시간 이상 콜드소크된 상태에서 시동 시도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</si>
  <si>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콜드소크 </t>
    </r>
    <r>
      <rPr>
        <sz val="10"/>
        <rFont val="Malgun Gothic"/>
        <family val="0"/>
        <charset val="1"/>
      </rPr>
      <t xml:space="preserve">JFS </t>
    </r>
    <r>
      <rPr>
        <sz val="10"/>
        <rFont val="Noto Sans CJK SC"/>
        <family val="2"/>
      </rPr>
      <t xml:space="preserve">시동 제한 — </t>
    </r>
    <r>
      <rPr>
        <sz val="10"/>
        <rFont val="Malgun Gothic"/>
        <family val="0"/>
        <charset val="1"/>
      </rPr>
      <t xml:space="preserve">DCS</t>
    </r>
    <r>
      <rPr>
        <sz val="10"/>
        <rFont val="Noto Sans CJK SC"/>
        <family val="2"/>
      </rPr>
      <t xml:space="preserve">는 온도 무관 정상 시동</t>
    </r>
  </si>
  <si>
    <r>
      <rPr>
        <b val="true"/>
        <sz val="10"/>
        <rFont val="Malgun Gothic"/>
        <family val="0"/>
        <charset val="1"/>
      </rPr>
      <t xml:space="preserve">■ P4  INS </t>
    </r>
    <r>
      <rPr>
        <b val="true"/>
        <sz val="10"/>
        <rFont val="Noto Sans CJK SC"/>
        <family val="2"/>
      </rPr>
      <t xml:space="preserve">정렬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항법 초기화  </t>
    </r>
    <r>
      <rPr>
        <b val="true"/>
        <sz val="10"/>
        <rFont val="Malgun Gothic"/>
        <family val="0"/>
        <charset val="1"/>
      </rPr>
      <t xml:space="preserve">(INS Alignment / Nav Init) — INS NORM/STOR HDG </t>
    </r>
    <r>
      <rPr>
        <b val="true"/>
        <sz val="10"/>
        <rFont val="Noto Sans CJK SC"/>
        <family val="2"/>
      </rPr>
      <t xml:space="preserve">정렬</t>
    </r>
    <r>
      <rPr>
        <b val="true"/>
        <sz val="10"/>
        <rFont val="Malgun Gothic"/>
        <family val="0"/>
        <charset val="1"/>
      </rPr>
      <t xml:space="preserve">, DTE </t>
    </r>
    <r>
      <rPr>
        <b val="true"/>
        <sz val="10"/>
        <rFont val="Noto Sans CJK SC"/>
        <family val="2"/>
      </rPr>
      <t xml:space="preserve">로드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시스템 시간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항법 초기값</t>
    </r>
    <r>
      <rPr>
        <b val="true"/>
        <sz val="10"/>
        <rFont val="Malgun Gothic"/>
        <family val="0"/>
        <charset val="1"/>
      </rPr>
      <t xml:space="preserve">.</t>
    </r>
  </si>
  <si>
    <t xml:space="preserve">P4</t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</si>
  <si>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정렬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항법 초기화</t>
    </r>
  </si>
  <si>
    <t xml:space="preserve">MP-03</t>
  </si>
  <si>
    <r>
      <rPr>
        <sz val="10"/>
        <rFont val="Malgun Gothic"/>
        <family val="0"/>
        <charset val="1"/>
      </rPr>
      <t xml:space="preserve">RLG INU </t>
    </r>
    <r>
      <rPr>
        <sz val="10"/>
        <rFont val="Noto Sans CJK SC"/>
        <family val="2"/>
      </rPr>
      <t xml:space="preserve">정렬 절차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그림 </t>
    </r>
    <r>
      <rPr>
        <sz val="10"/>
        <rFont val="Malgun Gothic"/>
        <family val="0"/>
        <charset val="1"/>
      </rPr>
      <t xml:space="preserve">1-194) — </t>
    </r>
    <r>
      <rPr>
        <sz val="10"/>
        <rFont val="Noto Sans CJK SC"/>
        <family val="2"/>
      </rPr>
      <t xml:space="preserve">일반 자이로컴퍼스 정렬</t>
    </r>
  </si>
  <si>
    <t xml:space="preserve">RLG INU Alignment Procedures (Figure 1-194) - Normal Gyrocompass Alignment</t>
  </si>
  <si>
    <r>
      <rPr>
        <sz val="10"/>
        <rFont val="Noto Sans CJK SC"/>
        <family val="2"/>
      </rPr>
      <t xml:space="preserve">엔진 시동 및 </t>
    </r>
    <r>
      <rPr>
        <sz val="10"/>
        <rFont val="Malgun Gothic"/>
        <family val="0"/>
        <charset val="1"/>
      </rPr>
      <t xml:space="preserve">MMC/UFC </t>
    </r>
    <r>
      <rPr>
        <sz val="10"/>
        <rFont val="Noto Sans CJK SC"/>
        <family val="2"/>
      </rPr>
      <t xml:space="preserve">전원 인가 직후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정렬 시작 후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분 이내 좌표 입력 필요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</si>
  <si>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INS ALIGN NORM → DED INS </t>
    </r>
    <r>
      <rPr>
        <sz val="10"/>
        <rFont val="Noto Sans CJK SC"/>
        <family val="2"/>
      </rPr>
      <t xml:space="preserve">페이지 </t>
    </r>
    <r>
      <rPr>
        <sz val="10"/>
        <rFont val="Malgun Gothic"/>
        <family val="0"/>
        <charset val="1"/>
      </rPr>
      <t xml:space="preserve">LAT ENTR/LNG ENTR(2</t>
    </r>
    <r>
      <rPr>
        <sz val="10"/>
        <rFont val="Noto Sans CJK SC"/>
        <family val="2"/>
      </rPr>
      <t xml:space="preserve">분 내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상태 </t>
    </r>
    <r>
      <rPr>
        <sz val="10"/>
        <rFont val="Malgun Gothic"/>
        <family val="0"/>
        <charset val="1"/>
      </rPr>
      <t xml:space="preserve">10 RDY </t>
    </r>
    <r>
      <rPr>
        <sz val="10"/>
        <rFont val="Noto Sans CJK SC"/>
        <family val="2"/>
      </rPr>
      <t xml:space="preserve">점멸 대기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 → INS NAV → </t>
    </r>
    <r>
      <rPr>
        <sz val="10"/>
        <rFont val="Noto Sans CJK SC"/>
        <family val="2"/>
      </rPr>
      <t xml:space="preserve">이륙 전 </t>
    </r>
    <r>
      <rPr>
        <sz val="10"/>
        <rFont val="Malgun Gothic"/>
        <family val="0"/>
        <charset val="1"/>
      </rPr>
      <t xml:space="preserve">NAV </t>
    </r>
    <r>
      <rPr>
        <sz val="10"/>
        <rFont val="Noto Sans CJK SC"/>
        <family val="2"/>
      </rPr>
      <t xml:space="preserve">재확인</t>
    </r>
  </si>
  <si>
    <t xml:space="preserve">1-276 ~ 1-277</t>
  </si>
  <si>
    <t xml:space="preserve">MP-05</t>
  </si>
  <si>
    <r>
      <rPr>
        <sz val="10"/>
        <rFont val="Noto Sans CJK SC"/>
        <family val="2"/>
      </rPr>
      <t xml:space="preserve">강화 중단 정렬</t>
    </r>
    <r>
      <rPr>
        <sz val="10"/>
        <rFont val="Malgun Gothic"/>
        <family val="0"/>
        <charset val="1"/>
      </rPr>
      <t xml:space="preserve">(EIA) </t>
    </r>
    <r>
      <rPr>
        <sz val="10"/>
        <rFont val="Noto Sans CJK SC"/>
        <family val="2"/>
      </rPr>
      <t xml:space="preserve">절차</t>
    </r>
  </si>
  <si>
    <t xml:space="preserve">Enhanced Interrupted Alignment (EIA)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</si>
  <si>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미보조 임무에서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분 일반 정렬 완료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상태 </t>
    </r>
    <r>
      <rPr>
        <sz val="10"/>
        <rFont val="Malgun Gothic"/>
        <family val="0"/>
        <charset val="1"/>
      </rPr>
      <t xml:space="preserve">10, RDY </t>
    </r>
    <r>
      <rPr>
        <sz val="10"/>
        <rFont val="Noto Sans CJK SC"/>
        <family val="2"/>
      </rPr>
      <t xml:space="preserve">점멸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후 이륙 전 시간 여유가 있을 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</si>
  <si>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일반 정렬 </t>
    </r>
    <r>
      <rPr>
        <sz val="10"/>
        <rFont val="Malgun Gothic"/>
        <family val="0"/>
        <charset val="1"/>
      </rPr>
      <t xml:space="preserve">10 RDY → INS NAV </t>
    </r>
    <r>
      <rPr>
        <sz val="10"/>
        <rFont val="Noto Sans CJK SC"/>
        <family val="2"/>
      </rPr>
      <t xml:space="preserve">로 대체</t>
    </r>
  </si>
  <si>
    <t xml:space="preserve">1-279</t>
  </si>
  <si>
    <t xml:space="preserve">MP-06</t>
  </si>
  <si>
    <r>
      <rPr>
        <sz val="10"/>
        <rFont val="Noto Sans CJK SC"/>
        <family val="2"/>
      </rPr>
      <t xml:space="preserve">저장 방위</t>
    </r>
    <r>
      <rPr>
        <sz val="10"/>
        <rFont val="Malgun Gothic"/>
        <family val="0"/>
        <charset val="1"/>
      </rPr>
      <t xml:space="preserve">(Stored Heading) </t>
    </r>
    <r>
      <rPr>
        <sz val="10"/>
        <rFont val="Noto Sans CJK SC"/>
        <family val="2"/>
      </rPr>
      <t xml:space="preserve">정렬 절차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그림 </t>
    </r>
    <r>
      <rPr>
        <sz val="10"/>
        <rFont val="Malgun Gothic"/>
        <family val="0"/>
        <charset val="1"/>
      </rPr>
      <t xml:space="preserve">1-196)</t>
    </r>
  </si>
  <si>
    <t xml:space="preserve">Stored Heading Alignment Procedures (Figure 1-196)</t>
  </si>
  <si>
    <r>
      <rPr>
        <sz val="10"/>
        <rFont val="Noto Sans CJK SC"/>
        <family val="2"/>
      </rPr>
      <t xml:space="preserve">긴급 출격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신속 이륙 요구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미션 에디터에서 사전 정렬</t>
    </r>
    <r>
      <rPr>
        <sz val="10"/>
        <rFont val="Malgun Gothic"/>
        <family val="0"/>
        <charset val="1"/>
      </rPr>
      <t xml:space="preserve">(Stored Heading </t>
    </r>
    <r>
      <rPr>
        <sz val="10"/>
        <rFont val="Noto Sans CJK SC"/>
        <family val="2"/>
      </rPr>
      <t xml:space="preserve">가능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설정된 기체에서 항전 전원 인가 직후</t>
    </r>
  </si>
  <si>
    <r>
      <rPr>
        <sz val="10"/>
        <rFont val="Malgun Gothic"/>
        <family val="0"/>
        <charset val="1"/>
      </rPr>
      <t xml:space="preserve">INS ALIGN STOR HDG → </t>
    </r>
    <r>
      <rPr>
        <sz val="10"/>
        <rFont val="Noto Sans CJK SC"/>
        <family val="2"/>
      </rPr>
      <t xml:space="preserve">좌표 확인만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입력 금지</t>
    </r>
    <r>
      <rPr>
        <sz val="10"/>
        <rFont val="Malgun Gothic"/>
        <family val="0"/>
        <charset val="1"/>
      </rPr>
      <t xml:space="preserve">) → 90</t>
    </r>
    <r>
      <rPr>
        <sz val="10"/>
        <rFont val="Noto Sans CJK SC"/>
        <family val="2"/>
      </rPr>
      <t xml:space="preserve">초 후 </t>
    </r>
    <r>
      <rPr>
        <sz val="10"/>
        <rFont val="Malgun Gothic"/>
        <family val="0"/>
        <charset val="1"/>
      </rPr>
      <t xml:space="preserve">10 RDY → INS NAV(NORM </t>
    </r>
    <r>
      <rPr>
        <sz val="10"/>
        <rFont val="Noto Sans CJK SC"/>
        <family val="2"/>
      </rPr>
      <t xml:space="preserve">경유 금지</t>
    </r>
    <r>
      <rPr>
        <sz val="10"/>
        <rFont val="Malgun Gothic"/>
        <family val="0"/>
        <charset val="1"/>
      </rPr>
      <t xml:space="preserve">)</t>
    </r>
  </si>
  <si>
    <t xml:space="preserve">1-281 ~ 1-282</t>
  </si>
  <si>
    <t xml:space="preserve">MP-08</t>
  </si>
  <si>
    <r>
      <rPr>
        <sz val="10"/>
        <rFont val="Malgun Gothic"/>
        <family val="0"/>
        <charset val="1"/>
      </rPr>
      <t xml:space="preserve">NAV STATUS </t>
    </r>
    <r>
      <rPr>
        <sz val="10"/>
        <rFont val="Noto Sans CJK SC"/>
        <family val="2"/>
      </rPr>
      <t xml:space="preserve">및 </t>
    </r>
    <r>
      <rPr>
        <sz val="10"/>
        <rFont val="Malgun Gothic"/>
        <family val="0"/>
        <charset val="1"/>
      </rPr>
      <t xml:space="preserve">NAV COMMAND </t>
    </r>
    <r>
      <rPr>
        <sz val="10"/>
        <rFont val="Noto Sans CJK SC"/>
        <family val="2"/>
      </rPr>
      <t xml:space="preserve">절차</t>
    </r>
  </si>
  <si>
    <t xml:space="preserve">NAV STATUS and NAV COMMAND Procedures</t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</si>
  <si>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정렬 중 또는 정렬 후 </t>
    </r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필터 상태를 확인할 때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격납고에서 나온 뒤 </t>
    </r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추적 실패 시 </t>
    </r>
    <r>
      <rPr>
        <sz val="10"/>
        <rFont val="Malgun Gothic"/>
        <family val="0"/>
        <charset val="1"/>
      </rPr>
      <t xml:space="preserve">RESET</t>
    </r>
  </si>
  <si>
    <r>
      <rPr>
        <sz val="10"/>
        <rFont val="Malgun Gothic"/>
        <family val="0"/>
        <charset val="1"/>
      </rPr>
      <t xml:space="preserve">LIST→NAV </t>
    </r>
    <r>
      <rPr>
        <sz val="10"/>
        <rFont val="Noto Sans CJK SC"/>
        <family val="2"/>
      </rPr>
      <t xml:space="preserve">상태 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필요 시</t>
    </r>
    <r>
      <rPr>
        <sz val="10"/>
        <rFont val="Malgun Gothic"/>
        <family val="0"/>
        <charset val="1"/>
      </rPr>
      <t xml:space="preserve">) LIST→MISC→GPS </t>
    </r>
    <r>
      <rPr>
        <sz val="10"/>
        <rFont val="Noto Sans CJK SC"/>
        <family val="2"/>
      </rPr>
      <t xml:space="preserve">상태 확인 → </t>
    </r>
    <r>
      <rPr>
        <sz val="10"/>
        <rFont val="Malgun Gothic"/>
        <family val="0"/>
        <charset val="1"/>
      </rPr>
      <t xml:space="preserve">ZEROIZE</t>
    </r>
    <r>
      <rPr>
        <sz val="10"/>
        <rFont val="Noto Sans CJK SC"/>
        <family val="2"/>
      </rPr>
      <t xml:space="preserve">는 비상 시 물리 스위치만</t>
    </r>
  </si>
  <si>
    <t xml:space="preserve">1-289</t>
  </si>
  <si>
    <r>
      <rPr>
        <b val="true"/>
        <sz val="10"/>
        <rFont val="Malgun Gothic"/>
        <family val="0"/>
        <charset val="1"/>
      </rPr>
      <t xml:space="preserve">■ P5  </t>
    </r>
    <r>
      <rPr>
        <b val="true"/>
        <sz val="10"/>
        <rFont val="Noto Sans CJK SC"/>
        <family val="2"/>
      </rPr>
      <t xml:space="preserve">시동 후 점검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무장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센서 셋업 </t>
    </r>
    <r>
      <rPr>
        <b val="true"/>
        <sz val="10"/>
        <rFont val="Malgun Gothic"/>
        <family val="0"/>
        <charset val="1"/>
      </rPr>
      <t xml:space="preserve">· BIT  (After Start / SMS·Sensor Setup / BIT) — SMS </t>
    </r>
    <r>
      <rPr>
        <b val="true"/>
        <sz val="10"/>
        <rFont val="Noto Sans CJK SC"/>
        <family val="2"/>
      </rPr>
      <t xml:space="preserve">인벤토리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로드 파라미터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센서 전원</t>
    </r>
    <r>
      <rPr>
        <b val="true"/>
        <sz val="10"/>
        <rFont val="Malgun Gothic"/>
        <family val="0"/>
        <charset val="1"/>
      </rPr>
      <t xml:space="preserve">·BIT, </t>
    </r>
    <r>
      <rPr>
        <b val="true"/>
        <sz val="10"/>
        <rFont val="Noto Sans CJK SC"/>
        <family val="2"/>
      </rPr>
      <t xml:space="preserve">데이터링크</t>
    </r>
    <r>
      <rPr>
        <b val="true"/>
        <sz val="10"/>
        <rFont val="Malgun Gothic"/>
        <family val="0"/>
        <charset val="1"/>
      </rPr>
      <t xml:space="preserve">/IFF, </t>
    </r>
    <r>
      <rPr>
        <b val="true"/>
        <sz val="10"/>
        <rFont val="Noto Sans CJK SC"/>
        <family val="2"/>
      </rPr>
      <t xml:space="preserve">경고 설정</t>
    </r>
    <r>
      <rPr>
        <b val="true"/>
        <sz val="10"/>
        <rFont val="Malgun Gothic"/>
        <family val="0"/>
        <charset val="1"/>
      </rPr>
      <t xml:space="preserve">.</t>
    </r>
  </si>
  <si>
    <t xml:space="preserve">P5</t>
  </si>
  <si>
    <r>
      <rPr>
        <sz val="10"/>
        <rFont val="Noto Sans CJK SC"/>
        <family val="2"/>
      </rPr>
      <t xml:space="preserve">시동 후 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무장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센서 셋업 </t>
    </r>
    <r>
      <rPr>
        <sz val="10"/>
        <rFont val="Malgun Gothic"/>
        <family val="0"/>
        <charset val="1"/>
      </rPr>
      <t xml:space="preserve">· BIT</t>
    </r>
  </si>
  <si>
    <t xml:space="preserve">N-12</t>
  </si>
  <si>
    <t xml:space="preserve">엔진 시동 후 절차</t>
  </si>
  <si>
    <t xml:space="preserve">After Engine Start</t>
  </si>
  <si>
    <r>
      <rPr>
        <sz val="10"/>
        <rFont val="Noto Sans CJK SC"/>
        <family val="2"/>
      </rPr>
      <t xml:space="preserve">엔진 </t>
    </r>
    <r>
      <rPr>
        <sz val="10"/>
        <rFont val="Malgun Gothic"/>
        <family val="0"/>
        <charset val="1"/>
      </rPr>
      <t xml:space="preserve">IDLE </t>
    </r>
    <r>
      <rPr>
        <sz val="10"/>
        <rFont val="Noto Sans CJK SC"/>
        <family val="2"/>
      </rPr>
      <t xml:space="preserve">안정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30</t>
    </r>
    <r>
      <rPr>
        <sz val="10"/>
        <rFont val="Noto Sans CJK SC"/>
        <family val="2"/>
      </rPr>
      <t xml:space="preserve">초 이상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직후</t>
    </r>
  </si>
  <si>
    <r>
      <rPr>
        <sz val="10"/>
        <rFont val="Malgun Gothic"/>
        <family val="0"/>
        <charset val="1"/>
      </rPr>
      <t xml:space="preserve">PROBE HEAT/FIRE/MAL&amp;IND </t>
    </r>
    <r>
      <rPr>
        <sz val="10"/>
        <rFont val="Noto Sans CJK SC"/>
        <family val="2"/>
      </rPr>
      <t xml:space="preserve">시험 → </t>
    </r>
    <r>
      <rPr>
        <sz val="10"/>
        <rFont val="Malgun Gothic"/>
        <family val="0"/>
        <charset val="1"/>
      </rPr>
      <t xml:space="preserve">AVIONICS PWR(MMC·ST STA·MFD·UFC·GPS) ON → INS ALIGN NORM+</t>
    </r>
    <r>
      <rPr>
        <sz val="10"/>
        <rFont val="Noto Sans CJK SC"/>
        <family val="2"/>
      </rPr>
      <t xml:space="preserve">좌표 </t>
    </r>
    <r>
      <rPr>
        <sz val="10"/>
        <rFont val="Malgun Gothic"/>
        <family val="0"/>
        <charset val="1"/>
      </rPr>
      <t xml:space="preserve">ENTR → SNSR PWR(FCR ON, RDR ALT STBY) → HUD ON → C&amp;I UFC → SEC </t>
    </r>
    <r>
      <rPr>
        <sz val="10"/>
        <rFont val="Noto Sans CJK SC"/>
        <family val="2"/>
      </rPr>
      <t xml:space="preserve">점검 → 조종면 순환 → </t>
    </r>
    <r>
      <rPr>
        <sz val="10"/>
        <rFont val="Malgun Gothic"/>
        <family val="0"/>
        <charset val="1"/>
      </rPr>
      <t xml:space="preserve">FLCS BIT → SPD BRK </t>
    </r>
    <r>
      <rPr>
        <sz val="10"/>
        <rFont val="Noto Sans CJK SC"/>
        <family val="2"/>
      </rPr>
      <t xml:space="preserve">순환 → </t>
    </r>
    <r>
      <rPr>
        <sz val="10"/>
        <rFont val="Malgun Gothic"/>
        <family val="0"/>
        <charset val="1"/>
      </rPr>
      <t xml:space="preserve">3 GREEN → SAI </t>
    </r>
    <r>
      <rPr>
        <sz val="10"/>
        <rFont val="Noto Sans CJK SC"/>
        <family val="2"/>
      </rPr>
      <t xml:space="preserve">언케이지 → </t>
    </r>
    <r>
      <rPr>
        <sz val="10"/>
        <rFont val="Malgun Gothic"/>
        <family val="0"/>
        <charset val="1"/>
      </rPr>
      <t xml:space="preserve">FUEL QTY TEST→NORM → EPU </t>
    </r>
    <r>
      <rPr>
        <sz val="10"/>
        <rFont val="Noto Sans CJK SC"/>
        <family val="2"/>
      </rPr>
      <t xml:space="preserve">연료 </t>
    </r>
    <r>
      <rPr>
        <sz val="10"/>
        <rFont val="Malgun Gothic"/>
        <family val="0"/>
        <charset val="1"/>
      </rPr>
      <t xml:space="preserve">95~102% → DTE LOAD/BNGO/ALOW → DBU·</t>
    </r>
    <r>
      <rPr>
        <sz val="10"/>
        <rFont val="Noto Sans CJK SC"/>
        <family val="2"/>
      </rPr>
      <t xml:space="preserve">트림</t>
    </r>
    <r>
      <rPr>
        <sz val="10"/>
        <rFont val="Malgun Gothic"/>
        <family val="0"/>
        <charset val="1"/>
      </rPr>
      <t xml:space="preserve">·MPO </t>
    </r>
    <r>
      <rPr>
        <sz val="10"/>
        <rFont val="Noto Sans CJK SC"/>
        <family val="2"/>
      </rPr>
      <t xml:space="preserve">점검 → </t>
    </r>
    <r>
      <rPr>
        <sz val="10"/>
        <rFont val="Malgun Gothic"/>
        <family val="0"/>
        <charset val="1"/>
      </rPr>
      <t xml:space="preserve">AR OPEN/RDY→CLOSE → </t>
    </r>
    <r>
      <rPr>
        <sz val="10"/>
        <rFont val="Noto Sans CJK SC"/>
        <family val="2"/>
      </rPr>
      <t xml:space="preserve">브레이크 </t>
    </r>
    <r>
      <rPr>
        <sz val="10"/>
        <rFont val="Malgun Gothic"/>
        <family val="0"/>
        <charset val="1"/>
      </rPr>
      <t xml:space="preserve">CHAN 2→1 → ANTI ICE </t>
    </r>
    <r>
      <rPr>
        <sz val="10"/>
        <rFont val="Noto Sans CJK SC"/>
        <family val="2"/>
      </rPr>
      <t xml:space="preserve">점검 → </t>
    </r>
    <r>
      <rPr>
        <sz val="10"/>
        <rFont val="Malgun Gothic"/>
        <family val="0"/>
        <charset val="1"/>
      </rPr>
      <t xml:space="preserve">EPU GEN/PMG </t>
    </r>
    <r>
      <rPr>
        <sz val="10"/>
        <rFont val="Noto Sans CJK SC"/>
        <family val="2"/>
      </rPr>
      <t xml:space="preserve">소등 → </t>
    </r>
    <r>
      <rPr>
        <sz val="10"/>
        <rFont val="Malgun Gothic"/>
        <family val="0"/>
        <charset val="1"/>
      </rPr>
      <t xml:space="preserve">EPU OFF→NORM → OBOGS BIT</t>
    </r>
  </si>
  <si>
    <t xml:space="preserve">2-11~2-17</t>
  </si>
  <si>
    <t xml:space="preserve">W-10</t>
  </si>
  <si>
    <t xml:space="preserve">저온기상 운용 — 엔진 시동 후</t>
  </si>
  <si>
    <t xml:space="preserve">Cold Weather Operation - After Engine Start</t>
  </si>
  <si>
    <r>
      <rPr>
        <sz val="10"/>
        <rFont val="Noto Sans CJK SC"/>
        <family val="2"/>
      </rPr>
      <t xml:space="preserve">저온 환경에서 엔진 시동 완료 직후</t>
    </r>
    <r>
      <rPr>
        <sz val="10"/>
        <rFont val="Malgun Gothic"/>
        <family val="0"/>
        <charset val="1"/>
      </rPr>
      <t xml:space="preserve">, FLCS BIT </t>
    </r>
    <r>
      <rPr>
        <sz val="10"/>
        <rFont val="Noto Sans CJK SC"/>
        <family val="2"/>
      </rPr>
      <t xml:space="preserve">수행 전</t>
    </r>
  </si>
  <si>
    <r>
      <rPr>
        <sz val="10"/>
        <rFont val="Malgun Gothic"/>
        <family val="0"/>
        <charset val="1"/>
      </rPr>
      <t xml:space="preserve">TEMP </t>
    </r>
    <r>
      <rPr>
        <sz val="10"/>
        <rFont val="Noto Sans CJK SC"/>
        <family val="2"/>
      </rPr>
      <t xml:space="preserve">노브 </t>
    </r>
    <r>
      <rPr>
        <sz val="10"/>
        <rFont val="Malgun Gothic"/>
        <family val="0"/>
        <charset val="1"/>
      </rPr>
      <t xml:space="preserve">MAN WARM → FCR OFF, DEFOG </t>
    </r>
    <r>
      <rPr>
        <sz val="10"/>
        <rFont val="Noto Sans CJK SC"/>
        <family val="2"/>
      </rPr>
      <t xml:space="preserve">필요 시 → </t>
    </r>
    <r>
      <rPr>
        <sz val="10"/>
        <rFont val="Malgun Gothic"/>
        <family val="0"/>
        <charset val="1"/>
      </rPr>
      <t xml:space="preserve">TEMP AUTO </t>
    </r>
    <r>
      <rPr>
        <sz val="10"/>
        <rFont val="Noto Sans CJK SC"/>
        <family val="2"/>
      </rPr>
      <t xml:space="preserve">복귀 → 캐노피 폐쇄 확인 → </t>
    </r>
    <r>
      <rPr>
        <sz val="10"/>
        <rFont val="Malgun Gothic"/>
        <family val="0"/>
        <charset val="1"/>
      </rPr>
      <t xml:space="preserve">PROBE HEAT ON 2</t>
    </r>
    <r>
      <rPr>
        <sz val="10"/>
        <rFont val="Noto Sans CJK SC"/>
        <family val="2"/>
      </rPr>
      <t xml:space="preserve">분 후 </t>
    </r>
    <r>
      <rPr>
        <sz val="10"/>
        <rFont val="Malgun Gothic"/>
        <family val="0"/>
        <charset val="1"/>
      </rPr>
      <t xml:space="preserve">FLCS BIT → EPU </t>
    </r>
    <r>
      <rPr>
        <sz val="10"/>
        <rFont val="Noto Sans CJK SC"/>
        <family val="2"/>
      </rPr>
      <t xml:space="preserve">연료량 확인</t>
    </r>
  </si>
  <si>
    <t xml:space="preserve">SD-03</t>
  </si>
  <si>
    <r>
      <rPr>
        <sz val="10"/>
        <rFont val="Malgun Gothic"/>
        <family val="0"/>
        <charset val="1"/>
      </rPr>
      <t xml:space="preserve">SMS MDDE(</t>
    </r>
    <r>
      <rPr>
        <sz val="10"/>
        <rFont val="Noto Sans CJK SC"/>
        <family val="2"/>
      </rPr>
      <t xml:space="preserve">메뉴 구동형 데이터 입력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페이지 접근 절차</t>
    </r>
  </si>
  <si>
    <t xml:space="preserve">Accessing the SMS MDDE</t>
  </si>
  <si>
    <r>
      <rPr>
        <sz val="10"/>
        <rFont val="Malgun Gothic"/>
        <family val="0"/>
        <charset val="1"/>
      </rPr>
      <t xml:space="preserve">SMS INV </t>
    </r>
    <r>
      <rPr>
        <sz val="10"/>
        <rFont val="Noto Sans CJK SC"/>
        <family val="2"/>
      </rPr>
      <t xml:space="preserve">페이지 표시 무장이 실제 탑재와 다를 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실기</t>
    </r>
    <r>
      <rPr>
        <sz val="10"/>
        <rFont val="Malgun Gothic"/>
        <family val="0"/>
        <charset val="1"/>
      </rPr>
      <t xml:space="preserve">); DCS</t>
    </r>
    <r>
      <rPr>
        <sz val="10"/>
        <rFont val="Noto Sans CJK SC"/>
        <family val="2"/>
      </rPr>
      <t xml:space="preserve">에서는 발생하지 않음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</si>
  <si>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SMS INV </t>
    </r>
    <r>
      <rPr>
        <sz val="10"/>
        <rFont val="Noto Sans CJK SC"/>
        <family val="2"/>
      </rPr>
      <t xml:space="preserve">확인만 → 불일치 시 지상 재무장</t>
    </r>
  </si>
  <si>
    <t xml:space="preserve">1-90</t>
  </si>
  <si>
    <t xml:space="preserve">SD-06</t>
  </si>
  <si>
    <r>
      <rPr>
        <sz val="10"/>
        <rFont val="Malgun Gothic"/>
        <family val="0"/>
        <charset val="1"/>
      </rPr>
      <t xml:space="preserve">AIFF </t>
    </r>
    <r>
      <rPr>
        <sz val="10"/>
        <rFont val="Noto Sans CJK SC"/>
        <family val="2"/>
      </rPr>
      <t xml:space="preserve">트랜스폰더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응답기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운용</t>
    </r>
  </si>
  <si>
    <t xml:space="preserve">AIFF Transponder Operation</t>
  </si>
  <si>
    <r>
      <rPr>
        <sz val="10"/>
        <rFont val="Noto Sans CJK SC"/>
        <family val="2"/>
      </rPr>
      <t xml:space="preserve">시동 후 </t>
    </r>
    <r>
      <rPr>
        <sz val="10"/>
        <rFont val="Malgun Gothic"/>
        <family val="0"/>
        <charset val="1"/>
      </rPr>
      <t xml:space="preserve">CNI </t>
    </r>
    <r>
      <rPr>
        <sz val="10"/>
        <rFont val="Noto Sans CJK SC"/>
        <family val="2"/>
      </rPr>
      <t xml:space="preserve">셋업 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관제사 스쿼크 코드 지정 시 </t>
    </r>
    <r>
      <rPr>
        <sz val="10"/>
        <rFont val="Malgun Gothic"/>
        <family val="0"/>
        <charset val="1"/>
      </rPr>
      <t xml:space="preserve">/ Fence-In·Out </t>
    </r>
    <r>
      <rPr>
        <sz val="10"/>
        <rFont val="Noto Sans CJK SC"/>
        <family val="2"/>
      </rPr>
      <t xml:space="preserve">시 </t>
    </r>
    <r>
      <rPr>
        <sz val="10"/>
        <rFont val="Malgun Gothic"/>
        <family val="0"/>
        <charset val="1"/>
      </rPr>
      <t xml:space="preserve">IFF </t>
    </r>
    <r>
      <rPr>
        <sz val="10"/>
        <rFont val="Noto Sans CJK SC"/>
        <family val="2"/>
      </rPr>
      <t xml:space="preserve">모드 변경 시점</t>
    </r>
  </si>
  <si>
    <r>
      <rPr>
        <sz val="10"/>
        <rFont val="Malgun Gothic"/>
        <family val="0"/>
        <charset val="1"/>
      </rPr>
      <t xml:space="preserve">C&amp;I UFC → IFF Master NORM → ICP IFF → DED IFF </t>
    </r>
    <r>
      <rPr>
        <sz val="10"/>
        <rFont val="Noto Sans CJK SC"/>
        <family val="2"/>
      </rPr>
      <t xml:space="preserve">페이지</t>
    </r>
    <r>
      <rPr>
        <sz val="10"/>
        <rFont val="Malgun Gothic"/>
        <family val="0"/>
        <charset val="1"/>
      </rPr>
      <t xml:space="preserve">(POS/TIME </t>
    </r>
    <r>
      <rPr>
        <sz val="10"/>
        <rFont val="Noto Sans CJK SC"/>
        <family val="2"/>
      </rPr>
      <t xml:space="preserve">이벤트</t>
    </r>
    <r>
      <rPr>
        <sz val="10"/>
        <rFont val="Malgun Gothic"/>
        <family val="0"/>
        <charset val="1"/>
      </rPr>
      <t xml:space="preserve">, Mode 4 ON, </t>
    </r>
    <r>
      <rPr>
        <sz val="10"/>
        <rFont val="Noto Sans CJK SC"/>
        <family val="2"/>
      </rPr>
      <t xml:space="preserve">피드백 옵션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RTN CNI </t>
    </r>
    <r>
      <rPr>
        <sz val="10"/>
        <rFont val="Noto Sans CJK SC"/>
        <family val="2"/>
      </rPr>
      <t xml:space="preserve">페이지에서 상태 확인</t>
    </r>
  </si>
  <si>
    <t xml:space="preserve">1-187</t>
  </si>
  <si>
    <t xml:space="preserve">SD-10</t>
  </si>
  <si>
    <r>
      <rPr>
        <sz val="10"/>
        <rFont val="Noto Sans CJK SC"/>
        <family val="2"/>
      </rPr>
      <t xml:space="preserve">조종석 비디오 시스템</t>
    </r>
    <r>
      <rPr>
        <sz val="10"/>
        <rFont val="Malgun Gothic"/>
        <family val="0"/>
        <charset val="1"/>
      </rPr>
      <t xml:space="preserve">(CTVS/AVTR) </t>
    </r>
    <r>
      <rPr>
        <sz val="10"/>
        <rFont val="Noto Sans CJK SC"/>
        <family val="2"/>
      </rPr>
      <t xml:space="preserve">운용</t>
    </r>
  </si>
  <si>
    <t xml:space="preserve">Cockpit Video System Operation</t>
  </si>
  <si>
    <r>
      <rPr>
        <sz val="10"/>
        <rFont val="Noto Sans CJK SC"/>
        <family val="2"/>
      </rPr>
      <t xml:space="preserve">항전 전원 인가 후 셋업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디브리핑용 </t>
    </r>
    <r>
      <rPr>
        <sz val="10"/>
        <rFont val="Malgun Gothic"/>
        <family val="0"/>
        <charset val="1"/>
      </rPr>
      <t xml:space="preserve">HUD/MFD </t>
    </r>
    <r>
      <rPr>
        <sz val="10"/>
        <rFont val="Noto Sans CJK SC"/>
        <family val="2"/>
      </rPr>
      <t xml:space="preserve">녹화가 필요한 임무</t>
    </r>
  </si>
  <si>
    <r>
      <rPr>
        <sz val="10"/>
        <rFont val="Malgun Gothic"/>
        <family val="0"/>
        <charset val="1"/>
      </rPr>
      <t xml:space="preserve">AVTR Video Sel HUD/HMD → Video Recorder RECORD → (</t>
    </r>
    <r>
      <rPr>
        <sz val="10"/>
        <rFont val="Noto Sans CJK SC"/>
        <family val="2"/>
      </rPr>
      <t xml:space="preserve">교전 전 확인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착륙 후 </t>
    </r>
    <r>
      <rPr>
        <sz val="10"/>
        <rFont val="Malgun Gothic"/>
        <family val="0"/>
        <charset val="1"/>
      </rPr>
      <t xml:space="preserve">UNTHREAD</t>
    </r>
  </si>
  <si>
    <t xml:space="preserve">1-215</t>
  </si>
  <si>
    <t xml:space="preserve">MP-02</t>
  </si>
  <si>
    <r>
      <rPr>
        <sz val="10"/>
        <rFont val="Noto Sans CJK SC"/>
        <family val="2"/>
      </rPr>
      <t xml:space="preserve">개량형 데이터 모뎀</t>
    </r>
    <r>
      <rPr>
        <sz val="10"/>
        <rFont val="Malgun Gothic"/>
        <family val="0"/>
        <charset val="1"/>
      </rPr>
      <t xml:space="preserve">(IDM)/</t>
    </r>
    <r>
      <rPr>
        <sz val="10"/>
        <rFont val="Noto Sans CJK SC"/>
        <family val="2"/>
      </rPr>
      <t xml:space="preserve">데이터링크</t>
    </r>
    <r>
      <rPr>
        <sz val="10"/>
        <rFont val="Malgun Gothic"/>
        <family val="0"/>
        <charset val="1"/>
      </rPr>
      <t xml:space="preserve">(DLNK) </t>
    </r>
    <r>
      <rPr>
        <sz val="10"/>
        <rFont val="Noto Sans CJK SC"/>
        <family val="2"/>
      </rPr>
      <t xml:space="preserve">초기화</t>
    </r>
  </si>
  <si>
    <t xml:space="preserve">Initialization of Improved Data Modem (IDM)/Data Link (DLNK)</t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</si>
  <si>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정렬 완료</t>
    </r>
    <r>
      <rPr>
        <sz val="10"/>
        <rFont val="Malgun Gothic"/>
        <family val="0"/>
        <charset val="1"/>
      </rPr>
      <t xml:space="preserve">(RDY/ALIGN) </t>
    </r>
    <r>
      <rPr>
        <sz val="10"/>
        <rFont val="Noto Sans CJK SC"/>
        <family val="2"/>
      </rPr>
      <t xml:space="preserve">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이륙 전 항전 셋업 중 데이터링크 전원 인가 시점</t>
    </r>
  </si>
  <si>
    <r>
      <rPr>
        <sz val="10"/>
        <rFont val="Malgun Gothic"/>
        <family val="0"/>
        <charset val="1"/>
      </rPr>
      <t xml:space="preserve">GPS ON → TIME </t>
    </r>
    <r>
      <rPr>
        <sz val="10"/>
        <rFont val="Noto Sans CJK SC"/>
        <family val="2"/>
      </rPr>
      <t xml:space="preserve">페이지 </t>
    </r>
    <r>
      <rPr>
        <sz val="10"/>
        <rFont val="Malgun Gothic"/>
        <family val="0"/>
        <charset val="1"/>
      </rPr>
      <t xml:space="preserve">GPS SYSTEM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MIDS LVT ON → LIST→ENTR(DLNK) → GPS TIME ON/SYNC FINE → P2 </t>
    </r>
    <r>
      <rPr>
        <sz val="10"/>
        <rFont val="Noto Sans CJK SC"/>
        <family val="2"/>
      </rPr>
      <t xml:space="preserve">채널</t>
    </r>
    <r>
      <rPr>
        <sz val="10"/>
        <rFont val="Malgun Gothic"/>
        <family val="0"/>
        <charset val="1"/>
      </rPr>
      <t xml:space="preserve">·P3 STN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HSD XMT TNDL</t>
    </r>
  </si>
  <si>
    <t xml:space="preserve">1-267 ~ 1-271</t>
  </si>
  <si>
    <t xml:space="preserve">MP-07</t>
  </si>
  <si>
    <r>
      <rPr>
        <sz val="10"/>
        <rFont val="Malgun Gothic"/>
        <family val="0"/>
        <charset val="1"/>
      </rPr>
      <t xml:space="preserve">INS IBIT(</t>
    </r>
    <r>
      <rPr>
        <sz val="10"/>
        <rFont val="Noto Sans CJK SC"/>
        <family val="2"/>
      </rPr>
      <t xml:space="preserve">개시식 내장시험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</si>
  <si>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INS IBIT Procedures</t>
  </si>
  <si>
    <r>
      <rPr>
        <sz val="10"/>
        <rFont val="Malgun Gothic"/>
        <family val="0"/>
        <charset val="1"/>
      </rPr>
      <t xml:space="preserve">INS ALIGN NORM </t>
    </r>
    <r>
      <rPr>
        <sz val="10"/>
        <rFont val="Noto Sans CJK SC"/>
        <family val="2"/>
      </rPr>
      <t xml:space="preserve">선택 후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분 이내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정비 확인 목적으로 </t>
    </r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자체시험이 필요할 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</si>
  <si>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일반 정렬만 수행</t>
    </r>
    <r>
      <rPr>
        <sz val="10"/>
        <rFont val="Malgun Gothic"/>
        <family val="0"/>
        <charset val="1"/>
      </rPr>
      <t xml:space="preserve">; TEST </t>
    </r>
    <r>
      <rPr>
        <sz val="10"/>
        <rFont val="Noto Sans CJK SC"/>
        <family val="2"/>
      </rPr>
      <t xml:space="preserve">페이지 </t>
    </r>
    <r>
      <rPr>
        <sz val="10"/>
        <rFont val="Malgun Gothic"/>
        <family val="0"/>
        <charset val="1"/>
      </rPr>
      <t xml:space="preserve">INS BIT </t>
    </r>
    <r>
      <rPr>
        <sz val="10"/>
        <rFont val="Noto Sans CJK SC"/>
        <family val="2"/>
      </rPr>
      <t xml:space="preserve">불가</t>
    </r>
  </si>
  <si>
    <t xml:space="preserve">1-283</t>
  </si>
  <si>
    <t xml:space="preserve">MP-09</t>
  </si>
  <si>
    <r>
      <rPr>
        <sz val="10"/>
        <rFont val="Malgun Gothic"/>
        <family val="0"/>
        <charset val="1"/>
      </rPr>
      <t xml:space="preserve">MFL(</t>
    </r>
    <r>
      <rPr>
        <sz val="10"/>
        <rFont val="Noto Sans CJK SC"/>
        <family val="2"/>
      </rPr>
      <t xml:space="preserve">정비결함목록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삭제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재호출 절차</t>
    </r>
  </si>
  <si>
    <t xml:space="preserve">MFL Clearing/Recall Procedures</t>
  </si>
  <si>
    <r>
      <rPr>
        <sz val="10"/>
        <rFont val="Noto Sans CJK SC"/>
        <family val="2"/>
      </rPr>
      <t xml:space="preserve">항전 전원 인가 및 초기 </t>
    </r>
    <r>
      <rPr>
        <sz val="10"/>
        <rFont val="Malgun Gothic"/>
        <family val="0"/>
        <charset val="1"/>
      </rPr>
      <t xml:space="preserve">BIT </t>
    </r>
    <r>
      <rPr>
        <sz val="10"/>
        <rFont val="Noto Sans CJK SC"/>
        <family val="2"/>
      </rPr>
      <t xml:space="preserve">완료 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택시 전 최종 셋업 시점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</si>
  <si>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TEST/CLR </t>
    </r>
    <r>
      <rPr>
        <sz val="10"/>
        <rFont val="Noto Sans CJK SC"/>
        <family val="2"/>
      </rPr>
      <t xml:space="preserve">불가 → </t>
    </r>
    <r>
      <rPr>
        <sz val="10"/>
        <rFont val="Malgun Gothic"/>
        <family val="0"/>
        <charset val="1"/>
      </rPr>
      <t xml:space="preserve">PFLD </t>
    </r>
    <r>
      <rPr>
        <sz val="10"/>
        <rFont val="Noto Sans CJK SC"/>
        <family val="2"/>
      </rPr>
      <t xml:space="preserve">결함은 </t>
    </r>
    <r>
      <rPr>
        <sz val="10"/>
        <rFont val="Malgun Gothic"/>
        <family val="0"/>
        <charset val="1"/>
      </rPr>
      <t xml:space="preserve">F-ACK</t>
    </r>
    <r>
      <rPr>
        <sz val="10"/>
        <rFont val="Noto Sans CJK SC"/>
        <family val="2"/>
      </rPr>
      <t xml:space="preserve">로 확인</t>
    </r>
  </si>
  <si>
    <t xml:space="preserve">1-290</t>
  </si>
  <si>
    <t xml:space="preserve">MP-10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</si>
  <si>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인벤토리 및 무장 탑재 절차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그림 </t>
    </r>
    <r>
      <rPr>
        <sz val="10"/>
        <rFont val="Malgun Gothic"/>
        <family val="0"/>
        <charset val="1"/>
      </rPr>
      <t xml:space="preserve">1-203)</t>
    </r>
  </si>
  <si>
    <t xml:space="preserve">SMS Inventory and Loading Procedures (Figure 1-203)</t>
  </si>
  <si>
    <r>
      <rPr>
        <sz val="10"/>
        <rFont val="Malgun Gothic"/>
        <family val="0"/>
        <charset val="1"/>
      </rPr>
      <t xml:space="preserve">ST STA </t>
    </r>
    <r>
      <rPr>
        <sz val="10"/>
        <rFont val="Noto Sans CJK SC"/>
        <family val="2"/>
      </rPr>
      <t xml:space="preserve">전원 </t>
    </r>
    <r>
      <rPr>
        <sz val="10"/>
        <rFont val="Malgun Gothic"/>
        <family val="0"/>
        <charset val="1"/>
      </rPr>
      <t xml:space="preserve">ON </t>
    </r>
    <r>
      <rPr>
        <sz val="10"/>
        <rFont val="Noto Sans CJK SC"/>
        <family val="2"/>
      </rPr>
      <t xml:space="preserve">및 </t>
    </r>
    <r>
      <rPr>
        <sz val="10"/>
        <rFont val="Malgun Gothic"/>
        <family val="0"/>
        <charset val="1"/>
      </rPr>
      <t xml:space="preserve">DTC </t>
    </r>
    <r>
      <rPr>
        <sz val="10"/>
        <rFont val="Noto Sans CJK SC"/>
        <family val="2"/>
      </rPr>
      <t xml:space="preserve">로드 후 택시 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지상 재무장 후</t>
    </r>
  </si>
  <si>
    <r>
      <rPr>
        <sz val="10"/>
        <rFont val="Malgun Gothic"/>
        <family val="0"/>
        <charset val="1"/>
      </rPr>
      <t xml:space="preserve">MFD SMS → INV </t>
    </r>
    <r>
      <rPr>
        <sz val="10"/>
        <rFont val="Noto Sans CJK SC"/>
        <family val="2"/>
      </rPr>
      <t xml:space="preserve">페이지 → 스테이션별 무장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수량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탄약 확인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브리핑 로드아웃과 대조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불일치 시 지상 재무장</t>
    </r>
  </si>
  <si>
    <t xml:space="preserve">1-301</t>
  </si>
  <si>
    <t xml:space="preserve">MP-11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</si>
  <si>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탑재 파라미터 절차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그림 </t>
    </r>
    <r>
      <rPr>
        <sz val="10"/>
        <rFont val="Malgun Gothic"/>
        <family val="0"/>
        <charset val="1"/>
      </rPr>
      <t xml:space="preserve">1-204)</t>
    </r>
  </si>
  <si>
    <t xml:space="preserve">SMS Load Parameters Procedures (Figure 1-204)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</si>
  <si>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인벤토리 확인 후 </t>
    </r>
    <r>
      <rPr>
        <sz val="10"/>
        <rFont val="Malgun Gothic"/>
        <family val="0"/>
        <charset val="1"/>
      </rPr>
      <t xml:space="preserve">A-G </t>
    </r>
    <r>
      <rPr>
        <sz val="10"/>
        <rFont val="Noto Sans CJK SC"/>
        <family val="2"/>
      </rPr>
      <t xml:space="preserve">무장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특히 </t>
    </r>
    <r>
      <rPr>
        <sz val="10"/>
        <rFont val="Malgun Gothic"/>
        <family val="0"/>
        <charset val="1"/>
      </rPr>
      <t xml:space="preserve">CBU </t>
    </r>
    <r>
      <rPr>
        <sz val="10"/>
        <rFont val="Noto Sans CJK SC"/>
        <family val="2"/>
      </rPr>
      <t xml:space="preserve">계열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탑재한 경우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택시 전 또는 표적 진입 전</t>
    </r>
  </si>
  <si>
    <r>
      <rPr>
        <sz val="10"/>
        <rFont val="Malgun Gothic"/>
        <family val="0"/>
        <charset val="1"/>
      </rPr>
      <t xml:space="preserve">A-G → </t>
    </r>
    <r>
      <rPr>
        <sz val="10"/>
        <rFont val="Noto Sans CJK SC"/>
        <family val="2"/>
      </rPr>
      <t xml:space="preserve">우 </t>
    </r>
    <r>
      <rPr>
        <sz val="10"/>
        <rFont val="Malgun Gothic"/>
        <family val="0"/>
        <charset val="1"/>
      </rPr>
      <t xml:space="preserve">MFD SMS/</t>
    </r>
    <r>
      <rPr>
        <sz val="10"/>
        <rFont val="Noto Sans CJK SC"/>
        <family val="2"/>
      </rPr>
      <t xml:space="preserve">좌 </t>
    </r>
    <r>
      <rPr>
        <sz val="10"/>
        <rFont val="Malgun Gothic"/>
        <family val="0"/>
        <charset val="1"/>
      </rPr>
      <t xml:space="preserve">MFD FCR → </t>
    </r>
    <r>
      <rPr>
        <sz val="10"/>
        <rFont val="Noto Sans CJK SC"/>
        <family val="2"/>
      </rPr>
      <t xml:space="preserve">무장 선택 → </t>
    </r>
    <r>
      <rPr>
        <sz val="10"/>
        <rFont val="Malgun Gothic"/>
        <family val="0"/>
        <charset val="1"/>
      </rPr>
      <t xml:space="preserve">CNTL → BA </t>
    </r>
    <r>
      <rPr>
        <sz val="10"/>
        <rFont val="Noto Sans CJK SC"/>
        <family val="2"/>
      </rPr>
      <t xml:space="preserve">입력</t>
    </r>
    <r>
      <rPr>
        <sz val="10"/>
        <rFont val="Malgun Gothic"/>
        <family val="0"/>
        <charset val="1"/>
      </rPr>
      <t xml:space="preserve">(OSB </t>
    </r>
    <r>
      <rPr>
        <sz val="10"/>
        <rFont val="Noto Sans CJK SC"/>
        <family val="2"/>
      </rPr>
      <t xml:space="preserve">키패드</t>
    </r>
    <r>
      <rPr>
        <sz val="10"/>
        <rFont val="Malgun Gothic"/>
        <family val="0"/>
        <charset val="1"/>
      </rPr>
      <t xml:space="preserve">) → ENTR → CNTL </t>
    </r>
    <r>
      <rPr>
        <sz val="10"/>
        <rFont val="Noto Sans CJK SC"/>
        <family val="2"/>
      </rPr>
      <t xml:space="preserve">복귀</t>
    </r>
  </si>
  <si>
    <t xml:space="preserve">1-302</t>
  </si>
  <si>
    <t xml:space="preserve">MP-12</t>
  </si>
  <si>
    <r>
      <rPr>
        <sz val="10"/>
        <rFont val="Noto Sans CJK SC"/>
        <family val="2"/>
      </rPr>
      <t xml:space="preserve">시스템 시각 설정 절차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그림 </t>
    </r>
    <r>
      <rPr>
        <sz val="10"/>
        <rFont val="Malgun Gothic"/>
        <family val="0"/>
        <charset val="1"/>
      </rPr>
      <t xml:space="preserve">1-205)</t>
    </r>
  </si>
  <si>
    <t xml:space="preserve">System Time Procedures (Figure 1-205)</t>
  </si>
  <si>
    <r>
      <rPr>
        <sz val="10"/>
        <rFont val="Malgun Gothic"/>
        <family val="0"/>
        <charset val="1"/>
      </rPr>
      <t xml:space="preserve">UFC </t>
    </r>
    <r>
      <rPr>
        <sz val="10"/>
        <rFont val="Noto Sans CJK SC"/>
        <family val="2"/>
      </rPr>
      <t xml:space="preserve">전원 인가 후 </t>
    </r>
    <r>
      <rPr>
        <sz val="10"/>
        <rFont val="Malgun Gothic"/>
        <family val="0"/>
        <charset val="1"/>
      </rPr>
      <t xml:space="preserve">CNI </t>
    </r>
    <r>
      <rPr>
        <sz val="10"/>
        <rFont val="Noto Sans CJK SC"/>
        <family val="2"/>
      </rPr>
      <t xml:space="preserve">페이지 표시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편대 타임 핵 또는 </t>
    </r>
    <r>
      <rPr>
        <sz val="10"/>
        <rFont val="Malgun Gothic"/>
        <family val="0"/>
        <charset val="1"/>
      </rPr>
      <t xml:space="preserve">TOS </t>
    </r>
    <r>
      <rPr>
        <sz val="10"/>
        <rFont val="Noto Sans CJK SC"/>
        <family val="2"/>
      </rPr>
      <t xml:space="preserve">사용 전</t>
    </r>
  </si>
  <si>
    <r>
      <rPr>
        <sz val="10"/>
        <rFont val="Malgun Gothic"/>
        <family val="0"/>
        <charset val="1"/>
      </rPr>
      <t xml:space="preserve">CNI </t>
    </r>
    <r>
      <rPr>
        <sz val="10"/>
        <rFont val="Noto Sans CJK SC"/>
        <family val="2"/>
      </rPr>
      <t xml:space="preserve">시각 확인 → </t>
    </r>
    <r>
      <rPr>
        <sz val="10"/>
        <rFont val="Malgun Gothic"/>
        <family val="0"/>
        <charset val="1"/>
      </rPr>
      <t xml:space="preserve">TIME(6) → (GPS SYSTEM </t>
    </r>
    <r>
      <rPr>
        <sz val="10"/>
        <rFont val="Noto Sans CJK SC"/>
        <family val="2"/>
      </rPr>
      <t xml:space="preserve">확인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필요 시 수동 입력</t>
    </r>
    <r>
      <rPr>
        <sz val="10"/>
        <rFont val="Malgun Gothic"/>
        <family val="0"/>
        <charset val="1"/>
      </rPr>
      <t xml:space="preserve">+ENTR) → RTN → CNI </t>
    </r>
    <r>
      <rPr>
        <sz val="10"/>
        <rFont val="Noto Sans CJK SC"/>
        <family val="2"/>
      </rPr>
      <t xml:space="preserve">시각 재확인</t>
    </r>
  </si>
  <si>
    <t xml:space="preserve">1-303</t>
  </si>
  <si>
    <t xml:space="preserve">MP-19</t>
  </si>
  <si>
    <t xml:space="preserve">특수 무장 투하 데이터 절차</t>
  </si>
  <si>
    <t xml:space="preserve">Special Weapon Delivery Data Procedures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</si>
  <si>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셋업 완료 후 기관포 교전 예정 기종이나 </t>
    </r>
    <r>
      <rPr>
        <sz val="10"/>
        <rFont val="Malgun Gothic"/>
        <family val="0"/>
        <charset val="1"/>
      </rPr>
      <t xml:space="preserve">AGM-65 </t>
    </r>
    <r>
      <rPr>
        <sz val="10"/>
        <rFont val="Noto Sans CJK SC"/>
        <family val="2"/>
      </rPr>
      <t xml:space="preserve">운용이 계획된 경우</t>
    </r>
  </si>
  <si>
    <r>
      <rPr>
        <sz val="10"/>
        <rFont val="Malgun Gothic"/>
        <family val="0"/>
        <charset val="1"/>
      </rPr>
      <t xml:space="preserve">LIST→MAN WSPAN </t>
    </r>
    <r>
      <rPr>
        <sz val="10"/>
        <rFont val="Noto Sans CJK SC"/>
        <family val="2"/>
      </rPr>
      <t xml:space="preserve">입력 </t>
    </r>
    <r>
      <rPr>
        <sz val="10"/>
        <rFont val="Malgun Gothic"/>
        <family val="0"/>
        <charset val="1"/>
      </rPr>
      <t xml:space="preserve">ENTR → (MBAL/DRNG/</t>
    </r>
    <r>
      <rPr>
        <sz val="10"/>
        <rFont val="Noto Sans CJK SC"/>
        <family val="2"/>
      </rPr>
      <t xml:space="preserve">비콘 미구현</t>
    </r>
    <r>
      <rPr>
        <sz val="10"/>
        <rFont val="Malgun Gothic"/>
        <family val="0"/>
        <charset val="1"/>
      </rPr>
      <t xml:space="preserve">) → SMS AG65 → CNTL → AUTO POWER ON/</t>
    </r>
    <r>
      <rPr>
        <sz val="10"/>
        <rFont val="Noto Sans CJK SC"/>
        <family val="2"/>
      </rPr>
      <t xml:space="preserve">방향</t>
    </r>
    <r>
      <rPr>
        <sz val="10"/>
        <rFont val="Malgun Gothic"/>
        <family val="0"/>
        <charset val="1"/>
      </rPr>
      <t xml:space="preserve">/STPT → ENTR → CNTL </t>
    </r>
    <r>
      <rPr>
        <sz val="10"/>
        <rFont val="Noto Sans CJK SC"/>
        <family val="2"/>
      </rPr>
      <t xml:space="preserve">복귀</t>
    </r>
  </si>
  <si>
    <t xml:space="preserve">1-308 ~ 1-310</t>
  </si>
  <si>
    <t xml:space="preserve">MP-21</t>
  </si>
  <si>
    <r>
      <rPr>
        <sz val="10"/>
        <rFont val="Malgun Gothic"/>
        <family val="0"/>
        <charset val="1"/>
      </rPr>
      <t xml:space="preserve">CARA ALOW(</t>
    </r>
    <r>
      <rPr>
        <sz val="10"/>
        <rFont val="Noto Sans CJK SC"/>
        <family val="2"/>
      </rPr>
      <t xml:space="preserve">저고도 경보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</si>
  <si>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CARA ALOW Procedures</t>
  </si>
  <si>
    <r>
      <rPr>
        <sz val="10"/>
        <rFont val="Noto Sans CJK SC"/>
        <family val="2"/>
      </rPr>
      <t xml:space="preserve">항전 셋업 중 </t>
    </r>
    <r>
      <rPr>
        <sz val="10"/>
        <rFont val="Malgun Gothic"/>
        <family val="0"/>
        <charset val="1"/>
      </rPr>
      <t xml:space="preserve">CNI </t>
    </r>
    <r>
      <rPr>
        <sz val="10"/>
        <rFont val="Noto Sans CJK SC"/>
        <family val="2"/>
      </rPr>
      <t xml:space="preserve">페이지 표시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저고도 구간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접근 전 브리핑 값으로 갱신</t>
    </r>
  </si>
  <si>
    <r>
      <rPr>
        <sz val="10"/>
        <rFont val="Malgun Gothic"/>
        <family val="0"/>
        <charset val="1"/>
      </rPr>
      <t xml:space="preserve">CNI → ALOW(2) → CARA ALOW </t>
    </r>
    <r>
      <rPr>
        <sz val="10"/>
        <rFont val="Noto Sans CJK SC"/>
        <family val="2"/>
      </rPr>
      <t xml:space="preserve">입력 </t>
    </r>
    <r>
      <rPr>
        <sz val="10"/>
        <rFont val="Malgun Gothic"/>
        <family val="0"/>
        <charset val="1"/>
      </rPr>
      <t xml:space="preserve">ENTR → RDR ALT STBY(</t>
    </r>
    <r>
      <rPr>
        <sz val="10"/>
        <rFont val="Noto Sans CJK SC"/>
        <family val="2"/>
      </rPr>
      <t xml:space="preserve">지상</t>
    </r>
    <r>
      <rPr>
        <sz val="10"/>
        <rFont val="Malgun Gothic"/>
        <family val="0"/>
        <charset val="1"/>
      </rPr>
      <t xml:space="preserve">)/ON(</t>
    </r>
    <r>
      <rPr>
        <sz val="10"/>
        <rFont val="Noto Sans CJK SC"/>
        <family val="2"/>
      </rPr>
      <t xml:space="preserve">이륙 전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비행 중 </t>
    </r>
    <r>
      <rPr>
        <sz val="10"/>
        <rFont val="Malgun Gothic"/>
        <family val="0"/>
        <charset val="1"/>
      </rPr>
      <t xml:space="preserve">AL/ALTITUDE </t>
    </r>
    <r>
      <rPr>
        <sz val="10"/>
        <rFont val="Noto Sans CJK SC"/>
        <family val="2"/>
      </rPr>
      <t xml:space="preserve">경보 확인</t>
    </r>
  </si>
  <si>
    <t xml:space="preserve">1-316 ~ 1-317</t>
  </si>
  <si>
    <t xml:space="preserve">MP-22</t>
  </si>
  <si>
    <r>
      <rPr>
        <sz val="10"/>
        <rFont val="Noto Sans CJK SC"/>
        <family val="2"/>
      </rPr>
      <t xml:space="preserve">라인</t>
    </r>
    <r>
      <rPr>
        <sz val="10"/>
        <rFont val="Malgun Gothic"/>
        <family val="0"/>
        <charset val="1"/>
      </rPr>
      <t xml:space="preserve">-</t>
    </r>
    <r>
      <rPr>
        <sz val="10"/>
        <rFont val="Noto Sans CJK SC"/>
        <family val="2"/>
      </rPr>
      <t xml:space="preserve">인</t>
    </r>
    <r>
      <rPr>
        <sz val="10"/>
        <rFont val="Malgun Gothic"/>
        <family val="0"/>
        <charset val="1"/>
      </rPr>
      <t xml:space="preserve">-</t>
    </r>
    <r>
      <rPr>
        <sz val="10"/>
        <rFont val="Noto Sans CJK SC"/>
        <family val="2"/>
      </rPr>
      <t xml:space="preserve">더</t>
    </r>
    <r>
      <rPr>
        <sz val="10"/>
        <rFont val="Malgun Gothic"/>
        <family val="0"/>
        <charset val="1"/>
      </rPr>
      <t xml:space="preserve">-</t>
    </r>
    <r>
      <rPr>
        <sz val="10"/>
        <rFont val="Noto Sans CJK SC"/>
        <family val="2"/>
      </rPr>
      <t xml:space="preserve">스카이</t>
    </r>
    <r>
      <rPr>
        <sz val="10"/>
        <rFont val="Malgun Gothic"/>
        <family val="0"/>
        <charset val="1"/>
      </rPr>
      <t xml:space="preserve">(LIS) </t>
    </r>
    <r>
      <rPr>
        <sz val="10"/>
        <rFont val="Noto Sans CJK SC"/>
        <family val="2"/>
      </rPr>
      <t xml:space="preserve">절차</t>
    </r>
  </si>
  <si>
    <t xml:space="preserve">Line-In-The-Sky (LIS) Procedures</t>
  </si>
  <si>
    <r>
      <rPr>
        <sz val="10"/>
        <rFont val="Malgun Gothic"/>
        <family val="0"/>
        <charset val="1"/>
      </rPr>
      <t xml:space="preserve">ALOW </t>
    </r>
    <r>
      <rPr>
        <sz val="10"/>
        <rFont val="Noto Sans CJK SC"/>
        <family val="2"/>
      </rPr>
      <t xml:space="preserve">페이지 설정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접근 전 전이고도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Malgun Gothic"/>
        <family val="0"/>
        <charset val="1"/>
      </rPr>
      <t xml:space="preserve">: 18,000ft) </t>
    </r>
    <r>
      <rPr>
        <sz val="10"/>
        <rFont val="Noto Sans CJK SC"/>
        <family val="2"/>
      </rPr>
      <t xml:space="preserve">또는 브리핑 최저 안전고도 설정</t>
    </r>
  </si>
  <si>
    <r>
      <rPr>
        <sz val="10"/>
        <rFont val="Malgun Gothic"/>
        <family val="0"/>
        <charset val="1"/>
      </rPr>
      <t xml:space="preserve">CNI → ALOW(2) → MSL FLOOR </t>
    </r>
    <r>
      <rPr>
        <sz val="10"/>
        <rFont val="Noto Sans CJK SC"/>
        <family val="2"/>
      </rPr>
      <t xml:space="preserve">필드 → 값 입력 </t>
    </r>
    <r>
      <rPr>
        <sz val="10"/>
        <rFont val="Malgun Gothic"/>
        <family val="0"/>
        <charset val="1"/>
      </rPr>
      <t xml:space="preserve">ENTR → </t>
    </r>
    <r>
      <rPr>
        <sz val="10"/>
        <rFont val="Noto Sans CJK SC"/>
        <family val="2"/>
      </rPr>
      <t xml:space="preserve">강하 시 </t>
    </r>
    <r>
      <rPr>
        <sz val="10"/>
        <rFont val="Malgun Gothic"/>
        <family val="0"/>
        <charset val="1"/>
      </rPr>
      <t xml:space="preserve">ALTITUDE </t>
    </r>
    <r>
      <rPr>
        <sz val="10"/>
        <rFont val="Noto Sans CJK SC"/>
        <family val="2"/>
      </rPr>
      <t xml:space="preserve">경보 확인</t>
    </r>
  </si>
  <si>
    <t xml:space="preserve">1-317 ~ 1-318</t>
  </si>
  <si>
    <t xml:space="preserve">MP-23</t>
  </si>
  <si>
    <r>
      <rPr>
        <sz val="10"/>
        <rFont val="Noto Sans CJK SC"/>
        <family val="2"/>
      </rPr>
      <t xml:space="preserve">예항표적장치</t>
    </r>
    <r>
      <rPr>
        <sz val="10"/>
        <rFont val="Malgun Gothic"/>
        <family val="0"/>
        <charset val="1"/>
      </rPr>
      <t xml:space="preserve">(AGTS, A/A37U-36) </t>
    </r>
    <r>
      <rPr>
        <sz val="10"/>
        <rFont val="Noto Sans CJK SC"/>
        <family val="2"/>
      </rPr>
      <t xml:space="preserve">절차</t>
    </r>
  </si>
  <si>
    <t xml:space="preserve">Aerial Gunnery Target Set (AGTS), A/A37U-36 Procedures</t>
  </si>
  <si>
    <r>
      <rPr>
        <sz val="10"/>
        <rFont val="Malgun Gothic"/>
        <family val="0"/>
        <charset val="1"/>
      </rPr>
      <t xml:space="preserve">AGTS A/A37U-36 </t>
    </r>
    <r>
      <rPr>
        <sz val="10"/>
        <rFont val="Noto Sans CJK SC"/>
        <family val="2"/>
      </rPr>
      <t xml:space="preserve">예항표적 포드를 장착한 기관포 사격 훈련 임무의 시동 후 점검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</si>
  <si>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AGTS </t>
    </r>
    <r>
      <rPr>
        <sz val="10"/>
        <rFont val="Noto Sans CJK SC"/>
        <family val="2"/>
      </rPr>
      <t xml:space="preserve">없음</t>
    </r>
  </si>
  <si>
    <t xml:space="preserve">1-319</t>
  </si>
  <si>
    <t xml:space="preserve">IF-06</t>
  </si>
  <si>
    <t xml:space="preserve">빙고연료 경고 절차</t>
  </si>
  <si>
    <t xml:space="preserve">Bingo Fuel Warning Procedures</t>
  </si>
  <si>
    <r>
      <rPr>
        <sz val="10"/>
        <rFont val="Noto Sans CJK SC"/>
        <family val="2"/>
      </rPr>
      <t xml:space="preserve">시동 후 항전 셋업 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브리핑 </t>
    </r>
    <r>
      <rPr>
        <sz val="10"/>
        <rFont val="Malgun Gothic"/>
        <family val="0"/>
        <charset val="1"/>
      </rPr>
      <t xml:space="preserve">BINGO/JOKER </t>
    </r>
    <r>
      <rPr>
        <sz val="10"/>
        <rFont val="Noto Sans CJK SC"/>
        <family val="2"/>
      </rPr>
      <t xml:space="preserve">값 입력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공중급유 완료 후 또는 임무 변경으로 귀환연료 재산정 시</t>
    </r>
    <r>
      <rPr>
        <sz val="10"/>
        <rFont val="Malgun Gothic"/>
        <family val="0"/>
        <charset val="1"/>
      </rPr>
      <t xml:space="preserve">, BINGO </t>
    </r>
    <r>
      <rPr>
        <sz val="10"/>
        <rFont val="Noto Sans CJK SC"/>
        <family val="2"/>
      </rPr>
      <t xml:space="preserve">경고 발생 시 재설정</t>
    </r>
  </si>
  <si>
    <r>
      <rPr>
        <sz val="10"/>
        <rFont val="Malgun Gothic"/>
        <family val="0"/>
        <charset val="1"/>
      </rPr>
      <t xml:space="preserve">LIST → 2(BNGO) → </t>
    </r>
    <r>
      <rPr>
        <sz val="10"/>
        <rFont val="Noto Sans CJK SC"/>
        <family val="2"/>
      </rPr>
      <t xml:space="preserve">빙고값 입력 </t>
    </r>
    <r>
      <rPr>
        <sz val="10"/>
        <rFont val="Malgun Gothic"/>
        <family val="0"/>
        <charset val="1"/>
      </rPr>
      <t xml:space="preserve">ENTR → FUEL QTY SEL NORM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경고 시</t>
    </r>
    <r>
      <rPr>
        <sz val="10"/>
        <rFont val="Malgun Gothic"/>
        <family val="0"/>
        <charset val="1"/>
      </rPr>
      <t xml:space="preserve">) WARN RESET/</t>
    </r>
    <r>
      <rPr>
        <sz val="10"/>
        <rFont val="Noto Sans CJK SC"/>
        <family val="2"/>
      </rPr>
      <t xml:space="preserve">재설정</t>
    </r>
  </si>
  <si>
    <t xml:space="preserve">1-331</t>
  </si>
  <si>
    <t xml:space="preserve">IF-07</t>
  </si>
  <si>
    <r>
      <rPr>
        <sz val="10"/>
        <rFont val="Malgun Gothic"/>
        <family val="0"/>
        <charset val="1"/>
      </rPr>
      <t xml:space="preserve">NVP(</t>
    </r>
    <r>
      <rPr>
        <sz val="10"/>
        <rFont val="Noto Sans CJK SC"/>
        <family val="2"/>
      </rPr>
      <t xml:space="preserve">항법포드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활주 전 절차</t>
    </r>
  </si>
  <si>
    <t xml:space="preserve">NVP Prior to Taxi Procedures</t>
  </si>
  <si>
    <r>
      <rPr>
        <sz val="10"/>
        <rFont val="Noto Sans CJK SC"/>
        <family val="2"/>
      </rPr>
      <t xml:space="preserve">시동 후 항전 전원 인가 및 하드포인트 전원</t>
    </r>
    <r>
      <rPr>
        <sz val="10"/>
        <rFont val="Malgun Gothic"/>
        <family val="0"/>
        <charset val="1"/>
      </rPr>
      <t xml:space="preserve">(LHPT ON) </t>
    </r>
    <r>
      <rPr>
        <sz val="10"/>
        <rFont val="Noto Sans CJK SC"/>
        <family val="2"/>
      </rPr>
      <t xml:space="preserve">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택시 전 센서 </t>
    </r>
    <r>
      <rPr>
        <sz val="10"/>
        <rFont val="Malgun Gothic"/>
        <family val="0"/>
        <charset val="1"/>
      </rPr>
      <t xml:space="preserve">BIT </t>
    </r>
    <r>
      <rPr>
        <sz val="10"/>
        <rFont val="Noto Sans CJK SC"/>
        <family val="2"/>
      </rPr>
      <t xml:space="preserve">시점</t>
    </r>
  </si>
  <si>
    <r>
      <rPr>
        <sz val="10"/>
        <rFont val="Noto Sans CJK SC"/>
        <family val="2"/>
      </rPr>
      <t xml:space="preserve">미구현 — </t>
    </r>
    <r>
      <rPr>
        <sz val="10"/>
        <rFont val="Malgun Gothic"/>
        <family val="0"/>
        <charset val="1"/>
      </rPr>
      <t xml:space="preserve">LANTIRN NVP </t>
    </r>
    <r>
      <rPr>
        <sz val="10"/>
        <rFont val="Noto Sans CJK SC"/>
        <family val="2"/>
      </rPr>
      <t xml:space="preserve">없음</t>
    </r>
  </si>
  <si>
    <t xml:space="preserve">1-352</t>
  </si>
  <si>
    <t xml:space="preserve">IF-25</t>
  </si>
  <si>
    <r>
      <rPr>
        <sz val="10"/>
        <rFont val="Noto Sans CJK SC"/>
        <family val="2"/>
      </rPr>
      <t xml:space="preserve">자동 고도교정</t>
    </r>
    <r>
      <rPr>
        <sz val="10"/>
        <rFont val="Malgun Gothic"/>
        <family val="0"/>
        <charset val="1"/>
      </rPr>
      <t xml:space="preserve">(AUTO ACAL) </t>
    </r>
    <r>
      <rPr>
        <sz val="10"/>
        <rFont val="Noto Sans CJK SC"/>
        <family val="2"/>
      </rPr>
      <t xml:space="preserve">절차</t>
    </r>
  </si>
  <si>
    <t xml:space="preserve">Automatic Altitude Calibration Procedures</t>
  </si>
  <si>
    <r>
      <rPr>
        <sz val="10"/>
        <rFont val="Noto Sans CJK SC"/>
        <family val="2"/>
      </rPr>
      <t xml:space="preserve">시동 후 항법 셋업 시 </t>
    </r>
    <r>
      <rPr>
        <sz val="10"/>
        <rFont val="Malgun Gothic"/>
        <family val="0"/>
        <charset val="1"/>
      </rPr>
      <t xml:space="preserve">ACAL </t>
    </r>
    <r>
      <rPr>
        <sz val="10"/>
        <rFont val="Noto Sans CJK SC"/>
        <family val="2"/>
      </rPr>
      <t xml:space="preserve">페이지 확인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수동 </t>
    </r>
    <r>
      <rPr>
        <sz val="10"/>
        <rFont val="Malgun Gothic"/>
        <family val="0"/>
        <charset val="1"/>
      </rPr>
      <t xml:space="preserve">ACAL </t>
    </r>
    <r>
      <rPr>
        <sz val="10"/>
        <rFont val="Noto Sans CJK SC"/>
        <family val="2"/>
      </rPr>
      <t xml:space="preserve">수행 후 </t>
    </r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자동 교정으로 복귀할 때</t>
    </r>
  </si>
  <si>
    <r>
      <rPr>
        <sz val="10"/>
        <rFont val="Malgun Gothic"/>
        <family val="0"/>
        <charset val="1"/>
      </rPr>
      <t xml:space="preserve">CNI → A-CAL(9) → GPS </t>
    </r>
    <r>
      <rPr>
        <sz val="10"/>
        <rFont val="Noto Sans CJK SC"/>
        <family val="2"/>
      </rPr>
      <t xml:space="preserve">표시 확인</t>
    </r>
    <r>
      <rPr>
        <sz val="10"/>
        <rFont val="Malgun Gothic"/>
        <family val="0"/>
        <charset val="1"/>
      </rPr>
      <t xml:space="preserve">(MAN</t>
    </r>
    <r>
      <rPr>
        <sz val="10"/>
        <rFont val="Noto Sans CJK SC"/>
        <family val="2"/>
      </rPr>
      <t xml:space="preserve">이면 </t>
    </r>
    <r>
      <rPr>
        <sz val="10"/>
        <rFont val="Malgun Gothic"/>
        <family val="0"/>
        <charset val="1"/>
      </rPr>
      <t xml:space="preserve">DOWN → M-SEL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GPS) → RTN</t>
    </r>
  </si>
  <si>
    <t xml:space="preserve">1-384</t>
  </si>
  <si>
    <t xml:space="preserve">AG-14</t>
  </si>
  <si>
    <r>
      <rPr>
        <sz val="10"/>
        <rFont val="Noto Sans CJK SC"/>
        <family val="2"/>
      </rPr>
      <t xml:space="preserve">타겟팅 포드</t>
    </r>
    <r>
      <rPr>
        <sz val="10"/>
        <rFont val="Malgun Gothic"/>
        <family val="0"/>
        <charset val="1"/>
      </rPr>
      <t xml:space="preserve">(TGP) </t>
    </r>
    <r>
      <rPr>
        <sz val="10"/>
        <rFont val="Noto Sans CJK SC"/>
        <family val="2"/>
      </rPr>
      <t xml:space="preserve">전원 인가 절차</t>
    </r>
  </si>
  <si>
    <t xml:space="preserve">Targeting Pod Power Up Procedures</t>
  </si>
  <si>
    <r>
      <rPr>
        <sz val="10"/>
        <rFont val="Noto Sans CJK SC"/>
        <family val="2"/>
      </rPr>
      <t xml:space="preserve">항전 전원 인가 및 </t>
    </r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정렬 완료 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재사용 필요 시</t>
    </r>
  </si>
  <si>
    <r>
      <rPr>
        <sz val="10"/>
        <rFont val="Malgun Gothic"/>
        <family val="0"/>
        <charset val="1"/>
      </rPr>
      <t xml:space="preserve">RIGHT HDPT ON → MFD TGP </t>
    </r>
    <r>
      <rPr>
        <sz val="10"/>
        <rFont val="Noto Sans CJK SC"/>
        <family val="2"/>
      </rPr>
      <t xml:space="preserve">페이지 → </t>
    </r>
    <r>
      <rPr>
        <sz val="10"/>
        <rFont val="Malgun Gothic"/>
        <family val="0"/>
        <charset val="1"/>
      </rPr>
      <t xml:space="preserve">NOT TIMED OUT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OVRD(STBY </t>
    </r>
    <r>
      <rPr>
        <sz val="10"/>
        <rFont val="Noto Sans CJK SC"/>
        <family val="2"/>
      </rPr>
      <t xml:space="preserve">유지</t>
    </r>
    <r>
      <rPr>
        <sz val="10"/>
        <rFont val="Malgun Gothic"/>
        <family val="0"/>
        <charset val="1"/>
      </rPr>
      <t xml:space="preserve">) → 3</t>
    </r>
    <r>
      <rPr>
        <sz val="10"/>
        <rFont val="Noto Sans CJK SC"/>
        <family val="2"/>
      </rPr>
      <t xml:space="preserve">분 대기 → </t>
    </r>
    <r>
      <rPr>
        <sz val="10"/>
        <rFont val="Malgun Gothic"/>
        <family val="0"/>
        <charset val="1"/>
      </rPr>
      <t xml:space="preserve">OVRD </t>
    </r>
    <r>
      <rPr>
        <sz val="10"/>
        <rFont val="Noto Sans CJK SC"/>
        <family val="2"/>
      </rPr>
      <t xml:space="preserve">해제 → </t>
    </r>
    <r>
      <rPr>
        <sz val="10"/>
        <rFont val="Malgun Gothic"/>
        <family val="0"/>
        <charset val="1"/>
      </rPr>
      <t xml:space="preserve">A-G </t>
    </r>
    <r>
      <rPr>
        <sz val="10"/>
        <rFont val="Noto Sans CJK SC"/>
        <family val="2"/>
      </rPr>
      <t xml:space="preserve">모드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비디오 확인</t>
    </r>
  </si>
  <si>
    <t xml:space="preserve">1-452</t>
  </si>
  <si>
    <t xml:space="preserve">AG-15</t>
  </si>
  <si>
    <r>
      <rPr>
        <sz val="10"/>
        <rFont val="Noto Sans CJK SC"/>
        <family val="2"/>
      </rPr>
      <t xml:space="preserve">타겟팅 포드</t>
    </r>
    <r>
      <rPr>
        <sz val="10"/>
        <rFont val="Malgun Gothic"/>
        <family val="0"/>
        <charset val="1"/>
      </rPr>
      <t xml:space="preserve">(TGP) </t>
    </r>
    <r>
      <rPr>
        <sz val="10"/>
        <rFont val="Noto Sans CJK SC"/>
        <family val="2"/>
      </rPr>
      <t xml:space="preserve">자체시험</t>
    </r>
    <r>
      <rPr>
        <sz val="10"/>
        <rFont val="Malgun Gothic"/>
        <family val="0"/>
        <charset val="1"/>
      </rPr>
      <t xml:space="preserve">(BIT) </t>
    </r>
    <r>
      <rPr>
        <sz val="10"/>
        <rFont val="Noto Sans CJK SC"/>
        <family val="2"/>
      </rPr>
      <t xml:space="preserve">절차</t>
    </r>
  </si>
  <si>
    <t xml:space="preserve">Targeting Pod Built-In Test (BIT) Procedures</t>
  </si>
  <si>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전원 인가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냉각 완료 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이상 징후 발생 시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</si>
  <si>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— </t>
    </r>
    <r>
      <rPr>
        <sz val="10"/>
        <rFont val="Noto Sans CJK SC"/>
        <family val="2"/>
      </rPr>
      <t xml:space="preserve">대안</t>
    </r>
    <r>
      <rPr>
        <sz val="10"/>
        <rFont val="Malgun Gothic"/>
        <family val="0"/>
        <charset val="1"/>
      </rPr>
      <t xml:space="preserve">: TGP </t>
    </r>
    <r>
      <rPr>
        <sz val="10"/>
        <rFont val="Noto Sans CJK SC"/>
        <family val="2"/>
      </rPr>
      <t xml:space="preserve">비디오 정상 확인 </t>
    </r>
    <r>
      <rPr>
        <sz val="10"/>
        <rFont val="Malgun Gothic"/>
        <family val="0"/>
        <charset val="1"/>
      </rPr>
      <t xml:space="preserve">+ OVRD STBY</t>
    </r>
  </si>
  <si>
    <t xml:space="preserve">1-453</t>
  </si>
  <si>
    <r>
      <rPr>
        <b val="true"/>
        <sz val="10"/>
        <rFont val="Malgun Gothic"/>
        <family val="0"/>
        <charset val="1"/>
      </rPr>
      <t xml:space="preserve">■ P6  </t>
    </r>
    <r>
      <rPr>
        <b val="true"/>
        <sz val="10"/>
        <rFont val="Noto Sans CJK SC"/>
        <family val="2"/>
      </rPr>
      <t xml:space="preserve">택시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이륙 전 점검  </t>
    </r>
    <r>
      <rPr>
        <b val="true"/>
        <sz val="10"/>
        <rFont val="Malgun Gothic"/>
        <family val="0"/>
        <charset val="1"/>
      </rPr>
      <t xml:space="preserve">(Taxi / Before Takeoff) — </t>
    </r>
    <r>
      <rPr>
        <b val="true"/>
        <sz val="10"/>
        <rFont val="Noto Sans CJK SC"/>
        <family val="2"/>
      </rPr>
      <t xml:space="preserve">택시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런업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이륙 전 최종 확인</t>
    </r>
    <r>
      <rPr>
        <b val="true"/>
        <sz val="10"/>
        <rFont val="Malgun Gothic"/>
        <family val="0"/>
        <charset val="1"/>
      </rPr>
      <t xml:space="preserve">.</t>
    </r>
  </si>
  <si>
    <t xml:space="preserve">P6</t>
  </si>
  <si>
    <r>
      <rPr>
        <sz val="10"/>
        <rFont val="Noto Sans CJK SC"/>
        <family val="2"/>
      </rPr>
      <t xml:space="preserve">택시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이륙 전 점검</t>
    </r>
  </si>
  <si>
    <t xml:space="preserve">N-13</t>
  </si>
  <si>
    <t xml:space="preserve">지상활주 전 절차</t>
  </si>
  <si>
    <t xml:space="preserve">Before Taxi</t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</si>
  <si>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정렬 완료</t>
    </r>
    <r>
      <rPr>
        <sz val="10"/>
        <rFont val="Malgun Gothic"/>
        <family val="0"/>
        <charset val="1"/>
      </rPr>
      <t xml:space="preserve">(DED 10 RDY </t>
    </r>
    <r>
      <rPr>
        <sz val="10"/>
        <rFont val="Noto Sans CJK SC"/>
        <family val="2"/>
      </rPr>
      <t xml:space="preserve">점멸</t>
    </r>
    <r>
      <rPr>
        <sz val="10"/>
        <rFont val="Malgun Gothic"/>
        <family val="0"/>
        <charset val="1"/>
      </rPr>
      <t xml:space="preserve">·HUD ALIGN </t>
    </r>
    <r>
      <rPr>
        <sz val="10"/>
        <rFont val="Noto Sans CJK SC"/>
        <family val="2"/>
      </rPr>
      <t xml:space="preserve">점멸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및 시동 후 점검 완료 시</t>
    </r>
  </si>
  <si>
    <r>
      <rPr>
        <sz val="10"/>
        <rFont val="Noto Sans CJK SC"/>
        <family val="2"/>
      </rPr>
      <t xml:space="preserve">캐노피 </t>
    </r>
    <r>
      <rPr>
        <sz val="10"/>
        <rFont val="Malgun Gothic"/>
        <family val="0"/>
        <charset val="1"/>
      </rPr>
      <t xml:space="preserve">DOWN/</t>
    </r>
    <r>
      <rPr>
        <sz val="10"/>
        <rFont val="Noto Sans CJK SC"/>
        <family val="2"/>
      </rPr>
      <t xml:space="preserve">잠금</t>
    </r>
    <r>
      <rPr>
        <sz val="10"/>
        <rFont val="Malgun Gothic"/>
        <family val="0"/>
        <charset val="1"/>
      </rPr>
      <t xml:space="preserve">·CANOPY </t>
    </r>
    <r>
      <rPr>
        <sz val="10"/>
        <rFont val="Noto Sans CJK SC"/>
        <family val="2"/>
      </rPr>
      <t xml:space="preserve">등 소등 → </t>
    </r>
    <r>
      <rPr>
        <sz val="10"/>
        <rFont val="Malgun Gothic"/>
        <family val="0"/>
        <charset val="1"/>
      </rPr>
      <t xml:space="preserve">COM1 </t>
    </r>
    <r>
      <rPr>
        <sz val="10"/>
        <rFont val="Noto Sans CJK SC"/>
        <family val="2"/>
      </rPr>
      <t xml:space="preserve">프리셋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주파수 → </t>
    </r>
    <r>
      <rPr>
        <sz val="10"/>
        <rFont val="Malgun Gothic"/>
        <family val="0"/>
        <charset val="1"/>
      </rPr>
      <t xml:space="preserve">(DL·IFF </t>
    </r>
    <r>
      <rPr>
        <sz val="10"/>
        <rFont val="Noto Sans CJK SC"/>
        <family val="2"/>
      </rPr>
      <t xml:space="preserve">셋업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고도계 </t>
    </r>
    <r>
      <rPr>
        <sz val="10"/>
        <rFont val="Malgun Gothic"/>
        <family val="0"/>
        <charset val="1"/>
      </rPr>
      <t xml:space="preserve">QNH·ELECT/PNEU/HUD </t>
    </r>
    <r>
      <rPr>
        <sz val="10"/>
        <rFont val="Noto Sans CJK SC"/>
        <family val="2"/>
      </rPr>
      <t xml:space="preserve">비교 → 외부등 → </t>
    </r>
    <r>
      <rPr>
        <sz val="10"/>
        <rFont val="Malgun Gothic"/>
        <family val="0"/>
        <charset val="1"/>
      </rPr>
      <t xml:space="preserve">INS NAV</t>
    </r>
  </si>
  <si>
    <t xml:space="preserve">2-17~2-18</t>
  </si>
  <si>
    <t xml:space="preserve">N-14</t>
  </si>
  <si>
    <t xml:space="preserve">지상활주</t>
  </si>
  <si>
    <t xml:space="preserve">Taxi</t>
  </si>
  <si>
    <r>
      <rPr>
        <sz val="10"/>
        <rFont val="Noto Sans CJK SC"/>
        <family val="2"/>
      </rPr>
      <t xml:space="preserve">파킹브레이크 해제</t>
    </r>
    <r>
      <rPr>
        <sz val="10"/>
        <rFont val="Malgun Gothic"/>
        <family val="0"/>
        <charset val="1"/>
      </rPr>
      <t xml:space="preserve">·NWS </t>
    </r>
    <r>
      <rPr>
        <sz val="10"/>
        <rFont val="Noto Sans CJK SC"/>
        <family val="2"/>
      </rPr>
      <t xml:space="preserve">결합 후 유도로 이동 시작 시</t>
    </r>
  </si>
  <si>
    <r>
      <rPr>
        <sz val="10"/>
        <rFont val="Noto Sans CJK SC"/>
        <family val="2"/>
      </rPr>
      <t xml:space="preserve">파킹브레이크 해제</t>
    </r>
    <r>
      <rPr>
        <sz val="10"/>
        <rFont val="Malgun Gothic"/>
        <family val="0"/>
        <charset val="1"/>
      </rPr>
      <t xml:space="preserve">·TAXI LT·NWS → </t>
    </r>
    <r>
      <rPr>
        <sz val="10"/>
        <rFont val="Noto Sans CJK SC"/>
        <family val="2"/>
      </rPr>
      <t xml:space="preserve">브레이크</t>
    </r>
    <r>
      <rPr>
        <sz val="10"/>
        <rFont val="Malgun Gothic"/>
        <family val="0"/>
        <charset val="1"/>
      </rPr>
      <t xml:space="preserve">/NWS </t>
    </r>
    <r>
      <rPr>
        <sz val="10"/>
        <rFont val="Noto Sans CJK SC"/>
        <family val="2"/>
      </rPr>
      <t xml:space="preserve">점검 → 헤딩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계기 → </t>
    </r>
    <r>
      <rPr>
        <sz val="10"/>
        <rFont val="Malgun Gothic"/>
        <family val="0"/>
        <charset val="1"/>
      </rPr>
      <t xml:space="preserve">EXT </t>
    </r>
    <r>
      <rPr>
        <sz val="10"/>
        <rFont val="Noto Sans CJK SC"/>
        <family val="2"/>
      </rPr>
      <t xml:space="preserve">탱크 급유 확인 → </t>
    </r>
    <r>
      <rPr>
        <sz val="10"/>
        <rFont val="Malgun Gothic"/>
        <family val="0"/>
        <charset val="1"/>
      </rPr>
      <t xml:space="preserve">FUEL QTY NORM → STORES CONFIG → OXY PBG → EPU/GEN TEST(IDLE+10%) → PROBE HEAT ON → </t>
    </r>
    <r>
      <rPr>
        <sz val="10"/>
        <rFont val="Noto Sans CJK SC"/>
        <family val="2"/>
      </rPr>
      <t xml:space="preserve">사출레버 </t>
    </r>
    <r>
      <rPr>
        <sz val="10"/>
        <rFont val="Malgun Gothic"/>
        <family val="0"/>
        <charset val="1"/>
      </rPr>
      <t xml:space="preserve">ARM → </t>
    </r>
    <r>
      <rPr>
        <sz val="10"/>
        <rFont val="Noto Sans CJK SC"/>
        <family val="2"/>
      </rPr>
      <t xml:space="preserve">조종면 순환 → </t>
    </r>
    <r>
      <rPr>
        <sz val="10"/>
        <rFont val="Malgun Gothic"/>
        <family val="0"/>
        <charset val="1"/>
      </rPr>
      <t xml:space="preserve">OIL PSI → ALOW </t>
    </r>
    <r>
      <rPr>
        <sz val="10"/>
        <rFont val="Noto Sans CJK SC"/>
        <family val="2"/>
      </rPr>
      <t xml:space="preserve">확인 → 경고등 전 소등</t>
    </r>
  </si>
  <si>
    <t xml:space="preserve">2-18~2-19</t>
  </si>
  <si>
    <t xml:space="preserve">N-15</t>
  </si>
  <si>
    <t xml:space="preserve">이륙 전 절차</t>
  </si>
  <si>
    <t xml:space="preserve">Before Takeoff</t>
  </si>
  <si>
    <r>
      <rPr>
        <sz val="10"/>
        <rFont val="Noto Sans CJK SC"/>
        <family val="2"/>
      </rPr>
      <t xml:space="preserve">활주로 대기지점</t>
    </r>
    <r>
      <rPr>
        <sz val="10"/>
        <rFont val="Malgun Gothic"/>
        <family val="0"/>
        <charset val="1"/>
      </rPr>
      <t xml:space="preserve">(hold short) </t>
    </r>
    <r>
      <rPr>
        <sz val="10"/>
        <rFont val="Noto Sans CJK SC"/>
        <family val="2"/>
      </rPr>
      <t xml:space="preserve">도착 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이륙 허가 직전</t>
    </r>
  </si>
  <si>
    <r>
      <rPr>
        <sz val="10"/>
        <rFont val="Malgun Gothic"/>
        <family val="0"/>
        <charset val="1"/>
      </rPr>
      <t xml:space="preserve">ALT FLAPS NORM → TF FLYUP ENABLE → </t>
    </r>
    <r>
      <rPr>
        <sz val="10"/>
        <rFont val="Noto Sans CJK SC"/>
        <family val="2"/>
      </rPr>
      <t xml:space="preserve">트림 </t>
    </r>
    <r>
      <rPr>
        <sz val="10"/>
        <rFont val="Malgun Gothic"/>
        <family val="0"/>
        <charset val="1"/>
      </rPr>
      <t xml:space="preserve">0(</t>
    </r>
    <r>
      <rPr>
        <sz val="10"/>
        <rFont val="Noto Sans CJK SC"/>
        <family val="2"/>
      </rPr>
      <t xml:space="preserve">롤 필요값</t>
    </r>
    <r>
      <rPr>
        <sz val="10"/>
        <rFont val="Malgun Gothic"/>
        <family val="0"/>
        <charset val="1"/>
      </rPr>
      <t xml:space="preserve">) → ENG CONT PRI/SEC </t>
    </r>
    <r>
      <rPr>
        <sz val="10"/>
        <rFont val="Noto Sans CJK SC"/>
        <family val="2"/>
      </rPr>
      <t xml:space="preserve">소등 → </t>
    </r>
    <r>
      <rPr>
        <sz val="10"/>
        <rFont val="Malgun Gothic"/>
        <family val="0"/>
        <charset val="1"/>
      </rPr>
      <t xml:space="preserve">SPD BRK CLOSED → </t>
    </r>
    <r>
      <rPr>
        <sz val="10"/>
        <rFont val="Noto Sans CJK SC"/>
        <family val="2"/>
      </rPr>
      <t xml:space="preserve">캐노피 잠금 → </t>
    </r>
    <r>
      <rPr>
        <sz val="10"/>
        <rFont val="Malgun Gothic"/>
        <family val="0"/>
        <charset val="1"/>
      </rPr>
      <t xml:space="preserve">IFF NORM/</t>
    </r>
    <r>
      <rPr>
        <sz val="10"/>
        <rFont val="Noto Sans CJK SC"/>
        <family val="2"/>
      </rPr>
      <t xml:space="preserve">코드 확인 → </t>
    </r>
    <r>
      <rPr>
        <sz val="10"/>
        <rFont val="Malgun Gothic"/>
        <family val="0"/>
        <charset val="1"/>
      </rPr>
      <t xml:space="preserve">(TAXI LT OFF·POS STEADY·PROBE HEAT·RDR ALT ON)</t>
    </r>
  </si>
  <si>
    <t xml:space="preserve">2-18</t>
  </si>
  <si>
    <t xml:space="preserve">W-11</t>
  </si>
  <si>
    <t xml:space="preserve">저온기상 운용 — 이륙</t>
  </si>
  <si>
    <t xml:space="preserve">Cold Weather Operation - Takeoff</t>
  </si>
  <si>
    <r>
      <rPr>
        <sz val="10"/>
        <rFont val="Noto Sans CJK SC"/>
        <family val="2"/>
      </rPr>
      <t xml:space="preserve">빙점 부근 이하 지상 노출 후 이륙 라인업 시</t>
    </r>
    <r>
      <rPr>
        <sz val="10"/>
        <rFont val="Malgun Gothic"/>
        <family val="0"/>
        <charset val="1"/>
      </rPr>
      <t xml:space="preserve">; -29°C </t>
    </r>
    <r>
      <rPr>
        <sz val="10"/>
        <rFont val="Noto Sans CJK SC"/>
        <family val="2"/>
      </rPr>
      <t xml:space="preserve">이하 콜드소크 후 이륙 시</t>
    </r>
  </si>
  <si>
    <r>
      <rPr>
        <sz val="10"/>
        <rFont val="Noto Sans CJK SC"/>
        <family val="2"/>
      </rPr>
      <t xml:space="preserve">라인업 시 </t>
    </r>
    <r>
      <rPr>
        <sz val="10"/>
        <rFont val="Malgun Gothic"/>
        <family val="0"/>
        <charset val="1"/>
      </rPr>
      <t xml:space="preserve">PROBE HEAT ON(2</t>
    </r>
    <r>
      <rPr>
        <sz val="10"/>
        <rFont val="Noto Sans CJK SC"/>
        <family val="2"/>
      </rPr>
      <t xml:space="preserve">분 전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정상 이륙 → 양의 상승률 후 </t>
    </r>
    <r>
      <rPr>
        <sz val="10"/>
        <rFont val="Malgun Gothic"/>
        <family val="0"/>
        <charset val="1"/>
      </rPr>
      <t xml:space="preserve">LG UP → </t>
    </r>
    <r>
      <rPr>
        <sz val="10"/>
        <rFont val="Noto Sans CJK SC"/>
        <family val="2"/>
      </rPr>
      <t xml:space="preserve">기어등 소등 확인</t>
    </r>
    <r>
      <rPr>
        <sz val="10"/>
        <rFont val="Malgun Gothic"/>
        <family val="0"/>
        <charset val="1"/>
      </rPr>
      <t xml:space="preserve">(300kt 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실패 시 최대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회 사이클</t>
    </r>
  </si>
  <si>
    <t xml:space="preserve">7-6</t>
  </si>
  <si>
    <t xml:space="preserve">W-12</t>
  </si>
  <si>
    <t xml:space="preserve">저온기상 운용 — 지상활주</t>
  </si>
  <si>
    <t xml:space="preserve">Cold Weather Operation - Taxi</t>
  </si>
  <si>
    <r>
      <rPr>
        <sz val="10"/>
        <rFont val="Noto Sans CJK SC"/>
        <family val="2"/>
      </rPr>
      <t xml:space="preserve">얼음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다져진 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슬러시 위 활주 시 또는 </t>
    </r>
    <r>
      <rPr>
        <sz val="10"/>
        <rFont val="Malgun Gothic"/>
        <family val="0"/>
        <charset val="1"/>
      </rPr>
      <t xml:space="preserve">-29°C </t>
    </r>
    <r>
      <rPr>
        <sz val="10"/>
        <rFont val="Noto Sans CJK SC"/>
        <family val="2"/>
      </rPr>
      <t xml:space="preserve">이하 콜드소크 후 택시 개시 시</t>
    </r>
  </si>
  <si>
    <r>
      <rPr>
        <sz val="10"/>
        <rFont val="Noto Sans CJK SC"/>
        <family val="2"/>
      </rPr>
      <t xml:space="preserve">물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슬러시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눈 회피 → </t>
    </r>
    <r>
      <rPr>
        <sz val="10"/>
        <rFont val="Malgun Gothic"/>
        <family val="0"/>
        <charset val="1"/>
      </rPr>
      <t xml:space="preserve">ANTI-SKID → NWS ON → NWS+</t>
    </r>
    <r>
      <rPr>
        <sz val="10"/>
        <rFont val="Noto Sans CJK SC"/>
        <family val="2"/>
      </rPr>
      <t xml:space="preserve">차동 브레이크 병행 → 안전속도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선회 </t>
    </r>
    <r>
      <rPr>
        <sz val="10"/>
        <rFont val="Malgun Gothic"/>
        <family val="0"/>
        <charset val="1"/>
      </rPr>
      <t xml:space="preserve">10kt, </t>
    </r>
    <r>
      <rPr>
        <sz val="10"/>
        <rFont val="Noto Sans CJK SC"/>
        <family val="2"/>
      </rPr>
      <t xml:space="preserve">직진 </t>
    </r>
    <r>
      <rPr>
        <sz val="10"/>
        <rFont val="Malgun Gothic"/>
        <family val="0"/>
        <charset val="1"/>
      </rPr>
      <t xml:space="preserve">25kt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통제불능 시 엔진 </t>
    </r>
    <r>
      <rPr>
        <sz val="10"/>
        <rFont val="Malgun Gothic"/>
        <family val="0"/>
        <charset val="1"/>
      </rPr>
      <t xml:space="preserve">OFF</t>
    </r>
  </si>
  <si>
    <t xml:space="preserve">R-11</t>
  </si>
  <si>
    <t xml:space="preserve">버디 출발 — 지상활주</t>
  </si>
  <si>
    <t xml:space="preserve">Buddy Departure - Taxi</t>
  </si>
  <si>
    <t xml:space="preserve">탱커와 동일 기지에서 버디 출발 예정으로 엔진 시동 완료 후 택시 준비 시</t>
  </si>
  <si>
    <r>
      <rPr>
        <sz val="10"/>
        <rFont val="Noto Sans CJK SC"/>
        <family val="2"/>
      </rPr>
      <t xml:space="preserve">시동 후 </t>
    </r>
    <r>
      <rPr>
        <sz val="10"/>
        <rFont val="Malgun Gothic"/>
        <family val="0"/>
        <charset val="1"/>
      </rPr>
      <t xml:space="preserve">COM1 </t>
    </r>
    <r>
      <rPr>
        <sz val="10"/>
        <rFont val="Noto Sans CJK SC"/>
        <family val="2"/>
      </rPr>
      <t xml:space="preserve">탱커 주파수 체크인 → 탱커 활주 확인 → 택시 절차 → </t>
    </r>
    <r>
      <rPr>
        <sz val="10"/>
        <rFont val="Malgun Gothic"/>
        <family val="0"/>
        <charset val="1"/>
      </rPr>
      <t xml:space="preserve">300ft </t>
    </r>
    <r>
      <rPr>
        <sz val="10"/>
        <rFont val="Noto Sans CJK SC"/>
        <family val="2"/>
      </rPr>
      <t xml:space="preserve">간격 유지</t>
    </r>
  </si>
  <si>
    <t xml:space="preserve">8-17</t>
  </si>
  <si>
    <t xml:space="preserve">R-12</t>
  </si>
  <si>
    <t xml:space="preserve">버디 출발 — 활주로 정렬</t>
  </si>
  <si>
    <t xml:space="preserve">Buddy Departure - Line-Up</t>
  </si>
  <si>
    <t xml:space="preserve">버디 출발을 위해 탱커와 함께 활주로에 진입할 때</t>
  </si>
  <si>
    <r>
      <rPr>
        <sz val="10"/>
        <rFont val="Noto Sans CJK SC"/>
        <family val="2"/>
      </rPr>
      <t xml:space="preserve">탱커 다운윈드 측 정렬 → 수급기 업윈드 측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날개끝 간격 → 이륙 전 점검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좁은 활주로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탱커 롤 후 진입</t>
    </r>
  </si>
  <si>
    <t xml:space="preserve">IF-08</t>
  </si>
  <si>
    <r>
      <rPr>
        <sz val="10"/>
        <rFont val="Noto Sans CJK SC"/>
        <family val="2"/>
      </rPr>
      <t xml:space="preserve">이륙 전 </t>
    </r>
    <r>
      <rPr>
        <sz val="10"/>
        <rFont val="Malgun Gothic"/>
        <family val="0"/>
        <charset val="1"/>
      </rPr>
      <t xml:space="preserve">FLIR </t>
    </r>
    <r>
      <rPr>
        <sz val="10"/>
        <rFont val="Noto Sans CJK SC"/>
        <family val="2"/>
      </rPr>
      <t xml:space="preserve">튜닝 절차</t>
    </r>
  </si>
  <si>
    <t xml:space="preserve">FLIR Tuning Prior to Takeoff Procedures</t>
  </si>
  <si>
    <r>
      <rPr>
        <sz val="10"/>
        <rFont val="Noto Sans CJK SC"/>
        <family val="2"/>
      </rPr>
      <t xml:space="preserve">야간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저시정 임무에서 </t>
    </r>
    <r>
      <rPr>
        <sz val="10"/>
        <rFont val="Malgun Gothic"/>
        <family val="0"/>
        <charset val="1"/>
      </rPr>
      <t xml:space="preserve">NVP FLIR </t>
    </r>
    <r>
      <rPr>
        <sz val="10"/>
        <rFont val="Noto Sans CJK SC"/>
        <family val="2"/>
      </rPr>
      <t xml:space="preserve">사용 예정 시 이륙 전</t>
    </r>
  </si>
  <si>
    <r>
      <rPr>
        <sz val="10"/>
        <rFont val="Noto Sans CJK SC"/>
        <family val="2"/>
      </rPr>
      <t xml:space="preserve">미구현 — </t>
    </r>
    <r>
      <rPr>
        <sz val="10"/>
        <rFont val="Malgun Gothic"/>
        <family val="0"/>
        <charset val="1"/>
      </rPr>
      <t xml:space="preserve">NVP FLIR </t>
    </r>
    <r>
      <rPr>
        <sz val="10"/>
        <rFont val="Noto Sans CJK SC"/>
        <family val="2"/>
      </rPr>
      <t xml:space="preserve">없음</t>
    </r>
  </si>
  <si>
    <t xml:space="preserve">1-353</t>
  </si>
  <si>
    <t xml:space="preserve">IF-09</t>
  </si>
  <si>
    <r>
      <rPr>
        <sz val="10"/>
        <rFont val="Noto Sans CJK SC"/>
        <family val="2"/>
      </rPr>
      <t xml:space="preserve">이륙 전 </t>
    </r>
    <r>
      <rPr>
        <sz val="10"/>
        <rFont val="Malgun Gothic"/>
        <family val="0"/>
        <charset val="1"/>
      </rPr>
      <t xml:space="preserve">FLIR </t>
    </r>
    <r>
      <rPr>
        <sz val="10"/>
        <rFont val="Noto Sans CJK SC"/>
        <family val="2"/>
      </rPr>
      <t xml:space="preserve">보어사이트 절차</t>
    </r>
  </si>
  <si>
    <t xml:space="preserve">FLIR Boresight Prior to Takeoff Procedures</t>
  </si>
  <si>
    <r>
      <rPr>
        <sz val="10"/>
        <rFont val="Malgun Gothic"/>
        <family val="0"/>
        <charset val="1"/>
      </rPr>
      <t xml:space="preserve">FLIR </t>
    </r>
    <r>
      <rPr>
        <sz val="10"/>
        <rFont val="Noto Sans CJK SC"/>
        <family val="2"/>
      </rPr>
      <t xml:space="preserve">튜닝 완료 후 이륙 전</t>
    </r>
    <r>
      <rPr>
        <sz val="10"/>
        <rFont val="Malgun Gothic"/>
        <family val="0"/>
        <charset val="1"/>
      </rPr>
      <t xml:space="preserve">, HUD-FLIR </t>
    </r>
    <r>
      <rPr>
        <sz val="10"/>
        <rFont val="Noto Sans CJK SC"/>
        <family val="2"/>
      </rPr>
      <t xml:space="preserve">정렬 오차 의심 시</t>
    </r>
  </si>
  <si>
    <r>
      <rPr>
        <sz val="10"/>
        <rFont val="Noto Sans CJK SC"/>
        <family val="2"/>
      </rPr>
      <t xml:space="preserve">미구현 — </t>
    </r>
    <r>
      <rPr>
        <sz val="10"/>
        <rFont val="Malgun Gothic"/>
        <family val="0"/>
        <charset val="1"/>
      </rPr>
      <t xml:space="preserve">NVP FLIR </t>
    </r>
    <r>
      <rPr>
        <sz val="10"/>
        <rFont val="Noto Sans CJK SC"/>
        <family val="2"/>
      </rPr>
      <t xml:space="preserve">보어사이트 없음</t>
    </r>
  </si>
  <si>
    <t xml:space="preserve">1-354</t>
  </si>
  <si>
    <t xml:space="preserve">IF-10</t>
  </si>
  <si>
    <r>
      <rPr>
        <sz val="10"/>
        <rFont val="Noto Sans CJK SC"/>
        <family val="2"/>
      </rPr>
      <t xml:space="preserve">이륙 전 </t>
    </r>
    <r>
      <rPr>
        <sz val="10"/>
        <rFont val="Malgun Gothic"/>
        <family val="0"/>
        <charset val="1"/>
      </rPr>
      <t xml:space="preserve">TFR(</t>
    </r>
    <r>
      <rPr>
        <sz val="10"/>
        <rFont val="Noto Sans CJK SC"/>
        <family val="2"/>
      </rPr>
      <t xml:space="preserve">지형추적레이더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</si>
  <si>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TFR Prior to Takeoff Procedures</t>
  </si>
  <si>
    <r>
      <rPr>
        <sz val="10"/>
        <rFont val="Malgun Gothic"/>
        <family val="0"/>
        <charset val="1"/>
      </rPr>
      <t xml:space="preserve">TF </t>
    </r>
    <r>
      <rPr>
        <sz val="10"/>
        <rFont val="Noto Sans CJK SC"/>
        <family val="2"/>
      </rPr>
      <t xml:space="preserve">운용 예정 임무에서 택시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이륙 전</t>
    </r>
  </si>
  <si>
    <r>
      <rPr>
        <sz val="10"/>
        <rFont val="Noto Sans CJK SC"/>
        <family val="2"/>
      </rPr>
      <t xml:space="preserve">미구현 — </t>
    </r>
    <r>
      <rPr>
        <sz val="10"/>
        <rFont val="Malgun Gothic"/>
        <family val="0"/>
        <charset val="1"/>
      </rPr>
      <t xml:space="preserve">TFR </t>
    </r>
    <r>
      <rPr>
        <sz val="10"/>
        <rFont val="Noto Sans CJK SC"/>
        <family val="2"/>
      </rPr>
      <t xml:space="preserve">없음 </t>
    </r>
    <r>
      <rPr>
        <sz val="10"/>
        <rFont val="Malgun Gothic"/>
        <family val="0"/>
        <charset val="1"/>
      </rPr>
      <t xml:space="preserve">(ALOW·RDR ALT </t>
    </r>
    <r>
      <rPr>
        <sz val="10"/>
        <rFont val="Noto Sans CJK SC"/>
        <family val="2"/>
      </rPr>
      <t xml:space="preserve">설정만 별도 수행</t>
    </r>
    <r>
      <rPr>
        <sz val="10"/>
        <rFont val="Malgun Gothic"/>
        <family val="0"/>
        <charset val="1"/>
      </rPr>
      <t xml:space="preserve">)</t>
    </r>
  </si>
  <si>
    <t xml:space="preserve">1-355</t>
  </si>
  <si>
    <t xml:space="preserve">IF-19</t>
  </si>
  <si>
    <r>
      <rPr>
        <sz val="10"/>
        <rFont val="Noto Sans CJK SC"/>
        <family val="2"/>
      </rPr>
      <t xml:space="preserve">스쿼트 픽스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 오버플라이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업데이트 절차</t>
    </r>
  </si>
  <si>
    <t xml:space="preserve">Squat Fix (Ground Overfly) Update Procedures</t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</si>
  <si>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정렬 완료 후 </t>
    </r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정확도가 </t>
    </r>
    <r>
      <rPr>
        <sz val="10"/>
        <rFont val="Malgun Gothic"/>
        <family val="0"/>
        <charset val="1"/>
      </rPr>
      <t xml:space="preserve">HIGH</t>
    </r>
    <r>
      <rPr>
        <sz val="10"/>
        <rFont val="Noto Sans CJK SC"/>
        <family val="2"/>
      </rPr>
      <t xml:space="preserve">가 아닌 상태에서 정확히 측량된 지상 지점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주기장 스팟</t>
    </r>
    <r>
      <rPr>
        <sz val="10"/>
        <rFont val="Malgun Gothic"/>
        <family val="0"/>
        <charset val="1"/>
      </rPr>
      <t xml:space="preserve">, EOR) </t>
    </r>
    <r>
      <rPr>
        <sz val="10"/>
        <rFont val="Noto Sans CJK SC"/>
        <family val="2"/>
      </rPr>
      <t xml:space="preserve">위에 정지해 있을 때</t>
    </r>
  </si>
  <si>
    <r>
      <rPr>
        <sz val="10"/>
        <rFont val="Noto Sans CJK SC"/>
        <family val="2"/>
      </rPr>
      <t xml:space="preserve">측량 지점 </t>
    </r>
    <r>
      <rPr>
        <sz val="10"/>
        <rFont val="Malgun Gothic"/>
        <family val="0"/>
        <charset val="1"/>
      </rPr>
      <t xml:space="preserve">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FIX(8) OFLY → </t>
    </r>
    <r>
      <rPr>
        <sz val="10"/>
        <rFont val="Noto Sans CJK SC"/>
        <family val="2"/>
      </rPr>
      <t xml:space="preserve">정지 상태에서 </t>
    </r>
    <r>
      <rPr>
        <sz val="10"/>
        <rFont val="Malgun Gothic"/>
        <family val="0"/>
        <charset val="1"/>
      </rPr>
      <t xml:space="preserve">TMS UP → ENTR</t>
    </r>
  </si>
  <si>
    <t xml:space="preserve">1-373</t>
  </si>
  <si>
    <t xml:space="preserve">IF-20</t>
  </si>
  <si>
    <r>
      <rPr>
        <sz val="10"/>
        <rFont val="Noto Sans CJK SC"/>
        <family val="2"/>
      </rPr>
      <t xml:space="preserve">제로 벨로시티</t>
    </r>
    <r>
      <rPr>
        <sz val="10"/>
        <rFont val="Malgun Gothic"/>
        <family val="0"/>
        <charset val="1"/>
      </rPr>
      <t xml:space="preserve">(ZVEL) </t>
    </r>
    <r>
      <rPr>
        <sz val="10"/>
        <rFont val="Noto Sans CJK SC"/>
        <family val="2"/>
      </rPr>
      <t xml:space="preserve">업데이트 절차</t>
    </r>
  </si>
  <si>
    <t xml:space="preserve">Zero Velocity Update Procedures</t>
  </si>
  <si>
    <r>
      <rPr>
        <sz val="10"/>
        <rFont val="Noto Sans CJK SC"/>
        <family val="2"/>
      </rPr>
      <t xml:space="preserve">정렬 완료 후 지상 정지 중</t>
    </r>
    <r>
      <rPr>
        <sz val="10"/>
        <rFont val="Malgun Gothic"/>
        <family val="0"/>
        <charset val="1"/>
      </rPr>
      <t xml:space="preserve">(EOR </t>
    </r>
    <r>
      <rPr>
        <sz val="10"/>
        <rFont val="Noto Sans CJK SC"/>
        <family val="2"/>
      </rPr>
      <t xml:space="preserve">무장점검 대기 등</t>
    </r>
    <r>
      <rPr>
        <sz val="10"/>
        <rFont val="Malgun Gothic"/>
        <family val="0"/>
        <charset val="1"/>
      </rPr>
      <t xml:space="preserve">) GPS </t>
    </r>
    <r>
      <rPr>
        <sz val="10"/>
        <rFont val="Noto Sans CJK SC"/>
        <family val="2"/>
      </rPr>
      <t xml:space="preserve">정확도가 </t>
    </r>
    <r>
      <rPr>
        <sz val="10"/>
        <rFont val="Malgun Gothic"/>
        <family val="0"/>
        <charset val="1"/>
      </rPr>
      <t xml:space="preserve">HIGH</t>
    </r>
    <r>
      <rPr>
        <sz val="10"/>
        <rFont val="Noto Sans CJK SC"/>
        <family val="2"/>
      </rPr>
      <t xml:space="preserve">가 아닐 때</t>
    </r>
  </si>
  <si>
    <r>
      <rPr>
        <sz val="10"/>
        <rFont val="Noto Sans CJK SC"/>
        <family val="2"/>
      </rPr>
      <t xml:space="preserve">미구현 — </t>
    </r>
    <r>
      <rPr>
        <sz val="10"/>
        <rFont val="Malgun Gothic"/>
        <family val="0"/>
        <charset val="1"/>
      </rPr>
      <t xml:space="preserve">ZVEL </t>
    </r>
    <r>
      <rPr>
        <sz val="10"/>
        <rFont val="Noto Sans CJK SC"/>
        <family val="2"/>
      </rPr>
      <t xml:space="preserve">없음</t>
    </r>
  </si>
  <si>
    <t xml:space="preserve">1-374</t>
  </si>
  <si>
    <r>
      <rPr>
        <b val="true"/>
        <sz val="10"/>
        <rFont val="Malgun Gothic"/>
        <family val="0"/>
        <charset val="1"/>
      </rPr>
      <t xml:space="preserve">■ P7  </t>
    </r>
    <r>
      <rPr>
        <b val="true"/>
        <sz val="10"/>
        <rFont val="Noto Sans CJK SC"/>
        <family val="2"/>
      </rPr>
      <t xml:space="preserve">이륙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상승  </t>
    </r>
    <r>
      <rPr>
        <b val="true"/>
        <sz val="10"/>
        <rFont val="Malgun Gothic"/>
        <family val="0"/>
        <charset val="1"/>
      </rPr>
      <t xml:space="preserve">(Takeoff / Climb) — </t>
    </r>
    <r>
      <rPr>
        <b val="true"/>
        <sz val="10"/>
        <rFont val="Noto Sans CJK SC"/>
        <family val="2"/>
      </rPr>
      <t xml:space="preserve">이륙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기어 업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상승 중 확인</t>
    </r>
    <r>
      <rPr>
        <b val="true"/>
        <sz val="10"/>
        <rFont val="Malgun Gothic"/>
        <family val="0"/>
        <charset val="1"/>
      </rPr>
      <t xml:space="preserve">.</t>
    </r>
  </si>
  <si>
    <t xml:space="preserve">P7</t>
  </si>
  <si>
    <r>
      <rPr>
        <sz val="10"/>
        <rFont val="Noto Sans CJK SC"/>
        <family val="2"/>
      </rPr>
      <t xml:space="preserve">이륙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상승</t>
    </r>
  </si>
  <si>
    <t xml:space="preserve">N-16</t>
  </si>
  <si>
    <t xml:space="preserve">정상 이륙</t>
  </si>
  <si>
    <t xml:space="preserve">Normal Takeoff</t>
  </si>
  <si>
    <r>
      <rPr>
        <sz val="10"/>
        <rFont val="Noto Sans CJK SC"/>
        <family val="2"/>
      </rPr>
      <t xml:space="preserve">활주로 정렬</t>
    </r>
    <r>
      <rPr>
        <sz val="10"/>
        <rFont val="Malgun Gothic"/>
        <family val="0"/>
        <charset val="1"/>
      </rPr>
      <t xml:space="preserve">(line up) </t>
    </r>
    <r>
      <rPr>
        <sz val="10"/>
        <rFont val="Noto Sans CJK SC"/>
        <family val="2"/>
      </rPr>
      <t xml:space="preserve">및 이륙 허가 수신 시</t>
    </r>
  </si>
  <si>
    <r>
      <rPr>
        <sz val="10"/>
        <rFont val="Noto Sans CJK SC"/>
        <family val="2"/>
      </rPr>
      <t xml:space="preserve">브레이크 홀드</t>
    </r>
    <r>
      <rPr>
        <sz val="10"/>
        <rFont val="Malgun Gothic"/>
        <family val="0"/>
        <charset val="1"/>
      </rPr>
      <t xml:space="preserve">·90% RPM → </t>
    </r>
    <r>
      <rPr>
        <sz val="10"/>
        <rFont val="Noto Sans CJK SC"/>
        <family val="2"/>
      </rPr>
      <t xml:space="preserve">엔진계기 확인 → 브레이크 해제 → </t>
    </r>
    <r>
      <rPr>
        <sz val="10"/>
        <rFont val="Malgun Gothic"/>
        <family val="0"/>
        <charset val="1"/>
      </rPr>
      <t xml:space="preserve">MIL/AB → 70kts NWS </t>
    </r>
    <r>
      <rPr>
        <sz val="10"/>
        <rFont val="Noto Sans CJK SC"/>
        <family val="2"/>
      </rPr>
      <t xml:space="preserve">해제 → 이륙속도</t>
    </r>
    <r>
      <rPr>
        <sz val="10"/>
        <rFont val="Malgun Gothic"/>
        <family val="0"/>
        <charset val="1"/>
      </rPr>
      <t xml:space="preserve">-10/15kts </t>
    </r>
    <r>
      <rPr>
        <sz val="10"/>
        <rFont val="Noto Sans CJK SC"/>
        <family val="2"/>
      </rPr>
      <t xml:space="preserve">로테이션 </t>
    </r>
    <r>
      <rPr>
        <sz val="10"/>
        <rFont val="Malgun Gothic"/>
        <family val="0"/>
        <charset val="1"/>
      </rPr>
      <t xml:space="preserve">8~12° → </t>
    </r>
    <r>
      <rPr>
        <sz val="10"/>
        <rFont val="Noto Sans CJK SC"/>
        <family val="2"/>
      </rPr>
      <t xml:space="preserve">양의 상승률 → </t>
    </r>
    <r>
      <rPr>
        <sz val="10"/>
        <rFont val="Malgun Gothic"/>
        <family val="0"/>
        <charset val="1"/>
      </rPr>
      <t xml:space="preserve">LG UP(300kts 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)</t>
    </r>
  </si>
  <si>
    <t xml:space="preserve">2-20~2-21</t>
  </si>
  <si>
    <t xml:space="preserve">N-17</t>
  </si>
  <si>
    <t xml:space="preserve">비대칭 스토어 이륙</t>
  </si>
  <si>
    <t xml:space="preserve">Takeoff With Asymmetric Stores</t>
  </si>
  <si>
    <r>
      <rPr>
        <sz val="10"/>
        <rFont val="Noto Sans CJK SC"/>
        <family val="2"/>
      </rPr>
      <t xml:space="preserve">좌우 비대칭 탑재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편측 무장 잔류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편측 탱크 등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상태로 이륙할 때</t>
    </r>
  </si>
  <si>
    <r>
      <rPr>
        <sz val="10"/>
        <rFont val="Noto Sans CJK SC"/>
        <family val="2"/>
      </rPr>
      <t xml:space="preserve">비대칭 탑재 확인 → 롤트림 사전 설정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무거운 날개 반대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정상 이륙</t>
    </r>
    <r>
      <rPr>
        <sz val="10"/>
        <rFont val="Malgun Gothic"/>
        <family val="0"/>
        <charset val="1"/>
      </rPr>
      <t xml:space="preserve">(+2G </t>
    </r>
    <r>
      <rPr>
        <sz val="10"/>
        <rFont val="Noto Sans CJK SC"/>
        <family val="2"/>
      </rPr>
      <t xml:space="preserve">한계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이륙 후 러더로 요잉 수정</t>
    </r>
  </si>
  <si>
    <t xml:space="preserve">2-22</t>
  </si>
  <si>
    <t xml:space="preserve">N-18</t>
  </si>
  <si>
    <t xml:space="preserve">상승</t>
  </si>
  <si>
    <t xml:space="preserve">Climb</t>
  </si>
  <si>
    <r>
      <rPr>
        <sz val="10"/>
        <rFont val="Noto Sans CJK SC"/>
        <family val="2"/>
      </rPr>
      <t xml:space="preserve">이륙 후 기어 </t>
    </r>
    <r>
      <rPr>
        <sz val="10"/>
        <rFont val="Malgun Gothic"/>
        <family val="0"/>
        <charset val="1"/>
      </rPr>
      <t xml:space="preserve">UP·</t>
    </r>
    <r>
      <rPr>
        <sz val="10"/>
        <rFont val="Noto Sans CJK SC"/>
        <family val="2"/>
      </rPr>
      <t xml:space="preserve">플랩 수납 완료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상승 개시 시</t>
    </r>
  </si>
  <si>
    <r>
      <rPr>
        <sz val="10"/>
        <rFont val="Malgun Gothic"/>
        <family val="0"/>
        <charset val="1"/>
      </rPr>
      <t xml:space="preserve">MIL/AB → </t>
    </r>
    <r>
      <rPr>
        <sz val="10"/>
        <rFont val="Noto Sans CJK SC"/>
        <family val="2"/>
      </rPr>
      <t xml:space="preserve">계획 속도로 상승 → 전환 마하 유지 → 목표고도 레벨오프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수동 스로틀</t>
    </r>
    <r>
      <rPr>
        <sz val="10"/>
        <rFont val="Malgun Gothic"/>
        <family val="0"/>
        <charset val="1"/>
      </rPr>
      <t xml:space="preserve">)</t>
    </r>
  </si>
  <si>
    <t xml:space="preserve">R-13</t>
  </si>
  <si>
    <t xml:space="preserve">버디 출발 — 이륙 및 이륙 중 중단</t>
  </si>
  <si>
    <t xml:space="preserve">Buddy Departure - Takeoff and Aborts During Takeoff</t>
  </si>
  <si>
    <r>
      <rPr>
        <sz val="10"/>
        <rFont val="Noto Sans CJK SC"/>
        <family val="2"/>
      </rPr>
      <t xml:space="preserve">탱커 이륙활주 개시 시</t>
    </r>
    <r>
      <rPr>
        <sz val="10"/>
        <rFont val="Malgun Gothic"/>
        <family val="0"/>
        <charset val="1"/>
      </rPr>
      <t xml:space="preserve">(45</t>
    </r>
    <r>
      <rPr>
        <sz val="10"/>
        <rFont val="Noto Sans CJK SC"/>
        <family val="2"/>
      </rPr>
      <t xml:space="preserve">초 카운트</t>
    </r>
    <r>
      <rPr>
        <sz val="10"/>
        <rFont val="Malgun Gothic"/>
        <family val="0"/>
        <charset val="1"/>
      </rPr>
      <t xml:space="preserve">); </t>
    </r>
    <r>
      <rPr>
        <sz val="10"/>
        <rFont val="Noto Sans CJK SC"/>
        <family val="2"/>
      </rPr>
      <t xml:space="preserve">이륙 중단 발생 시</t>
    </r>
  </si>
  <si>
    <r>
      <rPr>
        <sz val="10"/>
        <rFont val="Noto Sans CJK SC"/>
        <family val="2"/>
      </rPr>
      <t xml:space="preserve">탱커 롤 후 </t>
    </r>
    <r>
      <rPr>
        <sz val="10"/>
        <rFont val="Malgun Gothic"/>
        <family val="0"/>
        <charset val="1"/>
      </rPr>
      <t xml:space="preserve">45</t>
    </r>
    <r>
      <rPr>
        <sz val="10"/>
        <rFont val="Noto Sans CJK SC"/>
        <family val="2"/>
      </rPr>
      <t xml:space="preserve">초 → 런업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점검 → </t>
    </r>
    <r>
      <rPr>
        <sz val="10"/>
        <rFont val="Malgun Gothic"/>
        <family val="0"/>
        <charset val="1"/>
      </rPr>
      <t xml:space="preserve">MIL/AB </t>
    </r>
    <r>
      <rPr>
        <sz val="10"/>
        <rFont val="Noto Sans CJK SC"/>
        <family val="2"/>
      </rPr>
      <t xml:space="preserve">이륙 → 기어 </t>
    </r>
    <r>
      <rPr>
        <sz val="10"/>
        <rFont val="Malgun Gothic"/>
        <family val="0"/>
        <charset val="1"/>
      </rPr>
      <t xml:space="preserve">UP → </t>
    </r>
    <r>
      <rPr>
        <sz val="10"/>
        <rFont val="Noto Sans CJK SC"/>
        <family val="2"/>
      </rPr>
      <t xml:space="preserve">중단 시 </t>
    </r>
    <r>
      <rPr>
        <sz val="10"/>
        <rFont val="Malgun Gothic"/>
        <family val="0"/>
        <charset val="1"/>
      </rPr>
      <t xml:space="preserve">IDLE/</t>
    </r>
    <r>
      <rPr>
        <sz val="10"/>
        <rFont val="Noto Sans CJK SC"/>
        <family val="2"/>
      </rPr>
      <t xml:space="preserve">스피드브레이크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제동</t>
    </r>
    <r>
      <rPr>
        <sz val="10"/>
        <rFont val="Malgun Gothic"/>
        <family val="0"/>
        <charset val="1"/>
      </rPr>
      <t xml:space="preserve">/HOOK + </t>
    </r>
    <r>
      <rPr>
        <sz val="10"/>
        <rFont val="Noto Sans CJK SC"/>
        <family val="2"/>
      </rPr>
      <t xml:space="preserve">통보 → 주파수 유지 → 후류 회피</t>
    </r>
  </si>
  <si>
    <t xml:space="preserve">R-14</t>
  </si>
  <si>
    <t xml:space="preserve">엘리먼트 조인업 및 상승</t>
  </si>
  <si>
    <t xml:space="preserve">Element Join-Up and Climb</t>
  </si>
  <si>
    <r>
      <rPr>
        <sz val="10"/>
        <rFont val="Noto Sans CJK SC"/>
        <family val="2"/>
      </rPr>
      <t xml:space="preserve">버디 이륙 후 상승 중 탱커 조인업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급유 편대 내 위치교대 지시 시</t>
    </r>
  </si>
  <si>
    <r>
      <rPr>
        <sz val="10"/>
        <rFont val="Malgun Gothic"/>
        <family val="0"/>
        <charset val="1"/>
      </rPr>
      <t xml:space="preserve">HUD CAS → 300(+10n) KCAS </t>
    </r>
    <r>
      <rPr>
        <sz val="10"/>
        <rFont val="Noto Sans CJK SC"/>
        <family val="2"/>
      </rPr>
      <t xml:space="preserve">상승 → 탱커 </t>
    </r>
    <r>
      <rPr>
        <sz val="10"/>
        <rFont val="Malgun Gothic"/>
        <family val="0"/>
        <charset val="1"/>
      </rPr>
      <t xml:space="preserve">TACAN T/R + EHSI TCN, FCR </t>
    </r>
    <r>
      <rPr>
        <sz val="10"/>
        <rFont val="Noto Sans CJK SC"/>
        <family val="2"/>
      </rPr>
      <t xml:space="preserve">락 → 선회 외측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좌측 날개 조인 → 위치교대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직진수평 → 우측 오프셋 후방 → 이격 후 상승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하강</t>
    </r>
  </si>
  <si>
    <t xml:space="preserve">IF-11</t>
  </si>
  <si>
    <r>
      <rPr>
        <sz val="10"/>
        <rFont val="Malgun Gothic"/>
        <family val="0"/>
        <charset val="1"/>
      </rPr>
      <t xml:space="preserve">TFR </t>
    </r>
    <r>
      <rPr>
        <sz val="10"/>
        <rFont val="Noto Sans CJK SC"/>
        <family val="2"/>
      </rPr>
      <t xml:space="preserve">비행 중 점검 절차</t>
    </r>
  </si>
  <si>
    <t xml:space="preserve">TFR Inflight Check Procedures</t>
  </si>
  <si>
    <r>
      <rPr>
        <sz val="10"/>
        <rFont val="Malgun Gothic"/>
        <family val="0"/>
        <charset val="1"/>
      </rPr>
      <t xml:space="preserve">TF </t>
    </r>
    <r>
      <rPr>
        <sz val="10"/>
        <rFont val="Noto Sans CJK SC"/>
        <family val="2"/>
      </rPr>
      <t xml:space="preserve">임무에서 이륙 후 초기 상승 중</t>
    </r>
  </si>
  <si>
    <r>
      <rPr>
        <sz val="10"/>
        <rFont val="Noto Sans CJK SC"/>
        <family val="2"/>
      </rPr>
      <t xml:space="preserve">미구현 — </t>
    </r>
    <r>
      <rPr>
        <sz val="10"/>
        <rFont val="Malgun Gothic"/>
        <family val="0"/>
        <charset val="1"/>
      </rPr>
      <t xml:space="preserve">TFR </t>
    </r>
    <r>
      <rPr>
        <sz val="10"/>
        <rFont val="Noto Sans CJK SC"/>
        <family val="2"/>
      </rPr>
      <t xml:space="preserve">비행 중 점검 없음</t>
    </r>
  </si>
  <si>
    <r>
      <rPr>
        <b val="true"/>
        <sz val="10"/>
        <rFont val="Malgun Gothic"/>
        <family val="0"/>
        <charset val="1"/>
      </rPr>
      <t xml:space="preserve">■ P8  </t>
    </r>
    <r>
      <rPr>
        <b val="true"/>
        <sz val="10"/>
        <rFont val="Noto Sans CJK SC"/>
        <family val="2"/>
      </rPr>
      <t xml:space="preserve">순항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항법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연료관리  </t>
    </r>
    <r>
      <rPr>
        <b val="true"/>
        <sz val="10"/>
        <rFont val="Malgun Gothic"/>
        <family val="0"/>
        <charset val="1"/>
      </rPr>
      <t xml:space="preserve">(Cruise / Navigation / Fuel Management) — </t>
    </r>
    <r>
      <rPr>
        <b val="true"/>
        <sz val="10"/>
        <rFont val="Noto Sans CJK SC"/>
        <family val="2"/>
      </rPr>
      <t xml:space="preserve">스티어포인트 항법</t>
    </r>
    <r>
      <rPr>
        <b val="true"/>
        <sz val="10"/>
        <rFont val="Malgun Gothic"/>
        <family val="0"/>
        <charset val="1"/>
      </rPr>
      <t xml:space="preserve">, TOS, </t>
    </r>
    <r>
      <rPr>
        <b val="true"/>
        <sz val="10"/>
        <rFont val="Noto Sans CJK SC"/>
        <family val="2"/>
      </rPr>
      <t xml:space="preserve">연료</t>
    </r>
    <r>
      <rPr>
        <b val="true"/>
        <sz val="10"/>
        <rFont val="Malgun Gothic"/>
        <family val="0"/>
        <charset val="1"/>
      </rPr>
      <t xml:space="preserve">(BINGO/JOKER), FIX/ACAL </t>
    </r>
    <r>
      <rPr>
        <b val="true"/>
        <sz val="10"/>
        <rFont val="Noto Sans CJK SC"/>
        <family val="2"/>
      </rPr>
      <t xml:space="preserve">항법 보정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마크포인트</t>
    </r>
    <r>
      <rPr>
        <b val="true"/>
        <sz val="10"/>
        <rFont val="Malgun Gothic"/>
        <family val="0"/>
        <charset val="1"/>
      </rPr>
      <t xml:space="preserve">.</t>
    </r>
  </si>
  <si>
    <t xml:space="preserve">P8</t>
  </si>
  <si>
    <r>
      <rPr>
        <sz val="10"/>
        <rFont val="Noto Sans CJK SC"/>
        <family val="2"/>
      </rPr>
      <t xml:space="preserve">순항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항법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연료관리</t>
    </r>
  </si>
  <si>
    <t xml:space="preserve">N-19</t>
  </si>
  <si>
    <r>
      <rPr>
        <sz val="10"/>
        <rFont val="Noto Sans CJK SC"/>
        <family val="2"/>
      </rPr>
      <t xml:space="preserve">상승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비행중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운용 점검</t>
    </r>
  </si>
  <si>
    <t xml:space="preserve">Climb/In-Flight/Operational Checks</t>
  </si>
  <si>
    <r>
      <rPr>
        <sz val="10"/>
        <rFont val="Noto Sans CJK SC"/>
        <family val="2"/>
      </rPr>
      <t xml:space="preserve">상승 중 및 이후 약 </t>
    </r>
    <r>
      <rPr>
        <sz val="10"/>
        <rFont val="Malgun Gothic"/>
        <family val="0"/>
        <charset val="1"/>
      </rPr>
      <t xml:space="preserve">15~20</t>
    </r>
    <r>
      <rPr>
        <sz val="10"/>
        <rFont val="Noto Sans CJK SC"/>
        <family val="2"/>
      </rPr>
      <t xml:space="preserve">분 간격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임무 구간 전환 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</si>
  <si>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연료 수량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균형</t>
    </r>
    <r>
      <rPr>
        <sz val="10"/>
        <rFont val="Malgun Gothic"/>
        <family val="0"/>
        <charset val="1"/>
      </rPr>
      <t xml:space="preserve">/EXT </t>
    </r>
    <r>
      <rPr>
        <sz val="10"/>
        <rFont val="Noto Sans CJK SC"/>
        <family val="2"/>
      </rPr>
      <t xml:space="preserve">전달 → </t>
    </r>
    <r>
      <rPr>
        <sz val="10"/>
        <rFont val="Malgun Gothic"/>
        <family val="0"/>
        <charset val="1"/>
      </rPr>
      <t xml:space="preserve">FUEL QTY NORM → </t>
    </r>
    <r>
      <rPr>
        <sz val="10"/>
        <rFont val="Noto Sans CJK SC"/>
        <family val="2"/>
      </rPr>
      <t xml:space="preserve">산소 유량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압력 → 캐빈고도</t>
    </r>
    <r>
      <rPr>
        <sz val="10"/>
        <rFont val="Malgun Gothic"/>
        <family val="0"/>
        <charset val="1"/>
      </rPr>
      <t xml:space="preserve">/CABIN PRESS → </t>
    </r>
    <r>
      <rPr>
        <sz val="10"/>
        <rFont val="Noto Sans CJK SC"/>
        <family val="2"/>
      </rPr>
      <t xml:space="preserve">엔진계기</t>
    </r>
    <r>
      <rPr>
        <sz val="10"/>
        <rFont val="Malgun Gothic"/>
        <family val="0"/>
        <charset val="1"/>
      </rPr>
      <t xml:space="preserve">·HYD → ADI/HUD/SAI </t>
    </r>
    <r>
      <rPr>
        <sz val="10"/>
        <rFont val="Noto Sans CJK SC"/>
        <family val="2"/>
      </rPr>
      <t xml:space="preserve">일치 → </t>
    </r>
    <r>
      <rPr>
        <sz val="10"/>
        <rFont val="Malgun Gothic"/>
        <family val="0"/>
        <charset val="1"/>
      </rPr>
      <t xml:space="preserve">ANTI ICE → TGP STBY</t>
    </r>
  </si>
  <si>
    <t xml:space="preserve">2-22~2-23</t>
  </si>
  <si>
    <t xml:space="preserve">W-02</t>
  </si>
  <si>
    <r>
      <rPr>
        <sz val="10"/>
        <rFont val="Noto Sans CJK SC"/>
        <family val="2"/>
      </rPr>
      <t xml:space="preserve">홀딩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대기비행</t>
    </r>
    <r>
      <rPr>
        <sz val="10"/>
        <rFont val="Malgun Gothic"/>
        <family val="0"/>
        <charset val="1"/>
      </rPr>
      <t xml:space="preserve">)</t>
    </r>
  </si>
  <si>
    <t xml:space="preserve">Holding</t>
  </si>
  <si>
    <r>
      <rPr>
        <sz val="10"/>
        <rFont val="Malgun Gothic"/>
        <family val="0"/>
        <charset val="1"/>
      </rPr>
      <t xml:space="preserve">ATC/</t>
    </r>
    <r>
      <rPr>
        <sz val="10"/>
        <rFont val="Noto Sans CJK SC"/>
        <family val="2"/>
      </rPr>
      <t xml:space="preserve">편대장의 홀딩 지시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접근 순서 대기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기상 개선 대기 시</t>
    </r>
  </si>
  <si>
    <r>
      <rPr>
        <sz val="10"/>
        <rFont val="Noto Sans CJK SC"/>
        <family val="2"/>
      </rPr>
      <t xml:space="preserve">홀딩 픽스</t>
    </r>
    <r>
      <rPr>
        <sz val="10"/>
        <rFont val="Malgun Gothic"/>
        <family val="0"/>
        <charset val="1"/>
      </rPr>
      <t xml:space="preserve">(STPT/TACAN) </t>
    </r>
    <r>
      <rPr>
        <sz val="10"/>
        <rFont val="Noto Sans CJK SC"/>
        <family val="2"/>
      </rPr>
      <t xml:space="preserve">설정 → </t>
    </r>
    <r>
      <rPr>
        <sz val="10"/>
        <rFont val="Malgun Gothic"/>
        <family val="0"/>
        <charset val="1"/>
      </rPr>
      <t xml:space="preserve">CRUS EDR </t>
    </r>
    <r>
      <rPr>
        <sz val="10"/>
        <rFont val="Noto Sans CJK SC"/>
        <family val="2"/>
      </rPr>
      <t xml:space="preserve">캐럿으로 </t>
    </r>
    <r>
      <rPr>
        <sz val="10"/>
        <rFont val="Malgun Gothic"/>
        <family val="0"/>
        <charset val="1"/>
      </rPr>
      <t xml:space="preserve">200~250kt(</t>
    </r>
    <r>
      <rPr>
        <sz val="10"/>
        <rFont val="Noto Sans CJK SC"/>
        <family val="2"/>
      </rPr>
      <t xml:space="preserve">최대체공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클린 형상 → </t>
    </r>
    <r>
      <rPr>
        <sz val="10"/>
        <rFont val="Malgun Gothic"/>
        <family val="0"/>
        <charset val="1"/>
      </rPr>
      <t xml:space="preserve">ALT HOLD + HDG SEL</t>
    </r>
    <r>
      <rPr>
        <sz val="10"/>
        <rFont val="Noto Sans CJK SC"/>
        <family val="2"/>
      </rPr>
      <t xml:space="preserve">로 레이스트랙 → 레그 타이밍</t>
    </r>
  </si>
  <si>
    <t xml:space="preserve">7-2</t>
  </si>
  <si>
    <t xml:space="preserve">W-06</t>
  </si>
  <si>
    <t xml:space="preserve">난기류 및 뇌우</t>
  </si>
  <si>
    <t xml:space="preserve">Turbulence and Thunderstorms</t>
  </si>
  <si>
    <r>
      <rPr>
        <sz val="10"/>
        <rFont val="Noto Sans CJK SC"/>
        <family val="2"/>
      </rPr>
      <t xml:space="preserve">뇌우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난기류 구름 회피 불가 판단 시 또는 심한 난기류 진입 시</t>
    </r>
  </si>
  <si>
    <r>
      <rPr>
        <sz val="10"/>
        <rFont val="Malgun Gothic"/>
        <family val="0"/>
        <charset val="1"/>
      </rPr>
      <t xml:space="preserve">PROBE HEAT ON → FLOOD CONSOLES </t>
    </r>
    <r>
      <rPr>
        <sz val="10"/>
        <rFont val="Noto Sans CJK SC"/>
        <family val="2"/>
      </rPr>
      <t xml:space="preserve">최대 → </t>
    </r>
    <r>
      <rPr>
        <sz val="10"/>
        <rFont val="Malgun Gothic"/>
        <family val="0"/>
        <charset val="1"/>
      </rPr>
      <t xml:space="preserve">ANTI ICE ON → 300kt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CRUS RNG </t>
    </r>
    <r>
      <rPr>
        <sz val="10"/>
        <rFont val="Noto Sans CJK SC"/>
        <family val="2"/>
      </rPr>
      <t xml:space="preserve">최적속도 중 낮은 값 → 스로틀 고정 → 셀 회피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육안</t>
    </r>
    <r>
      <rPr>
        <sz val="10"/>
        <rFont val="Malgun Gothic"/>
        <family val="0"/>
        <charset val="1"/>
      </rPr>
      <t xml:space="preserve">)</t>
    </r>
  </si>
  <si>
    <t xml:space="preserve">W-13</t>
  </si>
  <si>
    <t xml:space="preserve">저온기상 운용 — 비행 중</t>
  </si>
  <si>
    <t xml:space="preserve">Cold Weather Operation - In Flight</t>
  </si>
  <si>
    <r>
      <rPr>
        <sz val="10"/>
        <rFont val="Noto Sans CJK SC"/>
        <family val="2"/>
      </rPr>
      <t xml:space="preserve">결빙 조건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구름 속 비행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외기온 </t>
    </r>
    <r>
      <rPr>
        <sz val="10"/>
        <rFont val="Malgun Gothic"/>
        <family val="0"/>
        <charset val="1"/>
      </rPr>
      <t xml:space="preserve">0°C </t>
    </r>
    <r>
      <rPr>
        <sz val="10"/>
        <rFont val="Noto Sans CJK SC"/>
        <family val="2"/>
      </rPr>
      <t xml:space="preserve">부근 이하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예상 또는 진입 시</t>
    </r>
  </si>
  <si>
    <r>
      <rPr>
        <sz val="10"/>
        <rFont val="Noto Sans CJK SC"/>
        <family val="2"/>
      </rPr>
      <t xml:space="preserve">결빙 구역 회피 → 불가 시 </t>
    </r>
    <r>
      <rPr>
        <sz val="10"/>
        <rFont val="Malgun Gothic"/>
        <family val="0"/>
        <charset val="1"/>
      </rPr>
      <t xml:space="preserve">ANTI ICE ON + PROBE HEAT → </t>
    </r>
    <r>
      <rPr>
        <sz val="10"/>
        <rFont val="Noto Sans CJK SC"/>
        <family val="2"/>
      </rPr>
      <t xml:space="preserve">앞전 점검 → 스로틀 완만 조작 → 필요 시 </t>
    </r>
    <r>
      <rPr>
        <sz val="10"/>
        <rFont val="Malgun Gothic"/>
        <family val="0"/>
        <charset val="1"/>
      </rPr>
      <t xml:space="preserve">CRUS HOME/</t>
    </r>
    <r>
      <rPr>
        <sz val="10"/>
        <rFont val="Noto Sans CJK SC"/>
        <family val="2"/>
      </rPr>
      <t xml:space="preserve">대체장 </t>
    </r>
    <r>
      <rPr>
        <sz val="10"/>
        <rFont val="Malgun Gothic"/>
        <family val="0"/>
        <charset val="1"/>
      </rPr>
      <t xml:space="preserve">STPT </t>
    </r>
    <r>
      <rPr>
        <sz val="10"/>
        <rFont val="Noto Sans CJK SC"/>
        <family val="2"/>
      </rPr>
      <t xml:space="preserve">입력</t>
    </r>
  </si>
  <si>
    <t xml:space="preserve">W-17</t>
  </si>
  <si>
    <t xml:space="preserve">화산재 운용 — 비행 중 운용</t>
  </si>
  <si>
    <t xml:space="preserve">Volcanic Ash Operation - InFlight Operations</t>
  </si>
  <si>
    <r>
      <rPr>
        <sz val="10"/>
        <rFont val="Noto Sans CJK SC"/>
        <family val="2"/>
      </rPr>
      <t xml:space="preserve">화산재 관통 징후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자극적 냄새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캐노피 불투명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엔진 서지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속도 지시 변동</t>
    </r>
    <r>
      <rPr>
        <sz val="10"/>
        <rFont val="Malgun Gothic"/>
        <family val="0"/>
        <charset val="1"/>
      </rPr>
      <t xml:space="preserve">, FTIT </t>
    </r>
    <r>
      <rPr>
        <sz val="10"/>
        <rFont val="Noto Sans CJK SC"/>
        <family val="2"/>
      </rPr>
      <t xml:space="preserve">상승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세인트 엘모의 불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감지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</si>
  <si>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화산재 관통 — 추력 최소 → 즉시 이탈 → </t>
    </r>
    <r>
      <rPr>
        <sz val="10"/>
        <rFont val="Malgun Gothic"/>
        <family val="0"/>
        <charset val="1"/>
      </rPr>
      <t xml:space="preserve">ANTI ICE OFF → </t>
    </r>
    <r>
      <rPr>
        <sz val="10"/>
        <rFont val="Noto Sans CJK SC"/>
        <family val="2"/>
      </rPr>
      <t xml:space="preserve">조기 착륙</t>
    </r>
  </si>
  <si>
    <t xml:space="preserve">7-8</t>
  </si>
  <si>
    <t xml:space="preserve">R-15</t>
  </si>
  <si>
    <t xml:space="preserve">엘리먼트 순항 편대</t>
  </si>
  <si>
    <t xml:space="preserve">Element Cruise Formation</t>
  </si>
  <si>
    <r>
      <rPr>
        <sz val="10"/>
        <rFont val="Noto Sans CJK SC"/>
        <family val="2"/>
      </rPr>
      <t xml:space="preserve">탱커 편대 합류 후 장거리 순항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편대원 급유 순서 대기 시</t>
    </r>
  </si>
  <si>
    <r>
      <rPr>
        <sz val="10"/>
        <rFont val="Noto Sans CJK SC"/>
        <family val="2"/>
      </rPr>
      <t xml:space="preserve">루트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스프레드 편대 유지 → 급유 대기 시 관측 위치 → 야간</t>
    </r>
    <r>
      <rPr>
        <sz val="10"/>
        <rFont val="Malgun Gothic"/>
        <family val="0"/>
        <charset val="1"/>
      </rPr>
      <t xml:space="preserve">/IMC </t>
    </r>
    <r>
      <rPr>
        <sz val="10"/>
        <rFont val="Noto Sans CJK SC"/>
        <family val="2"/>
      </rPr>
      <t xml:space="preserve">트레일 </t>
    </r>
    <r>
      <rPr>
        <sz val="10"/>
        <rFont val="Malgun Gothic"/>
        <family val="0"/>
        <charset val="1"/>
      </rPr>
      <t xml:space="preserve">1~3NM, -1000ft(TACAN DME + ALT HOLD)</t>
    </r>
  </si>
  <si>
    <t xml:space="preserve">8-18</t>
  </si>
  <si>
    <t xml:space="preserve">MP-13</t>
  </si>
  <si>
    <r>
      <rPr>
        <sz val="10"/>
        <rFont val="Noto Sans CJK SC"/>
        <family val="2"/>
      </rPr>
      <t xml:space="preserve">조종점 통과시각</t>
    </r>
    <r>
      <rPr>
        <sz val="10"/>
        <rFont val="Malgun Gothic"/>
        <family val="0"/>
        <charset val="1"/>
      </rPr>
      <t xml:space="preserve">(TOS) </t>
    </r>
    <r>
      <rPr>
        <sz val="10"/>
        <rFont val="Noto Sans CJK SC"/>
        <family val="2"/>
      </rPr>
      <t xml:space="preserve">절차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그림 </t>
    </r>
    <r>
      <rPr>
        <sz val="10"/>
        <rFont val="Malgun Gothic"/>
        <family val="0"/>
        <charset val="1"/>
      </rPr>
      <t xml:space="preserve">1-206)</t>
    </r>
  </si>
  <si>
    <t xml:space="preserve">Time Over Steerpoint (TOS) Procedures (Figure 1-206)</t>
  </si>
  <si>
    <r>
      <rPr>
        <sz val="10"/>
        <rFont val="Noto Sans CJK SC"/>
        <family val="2"/>
      </rPr>
      <t xml:space="preserve">이륙 후 항법 구간 진입 시 또는 브리핑된 </t>
    </r>
    <r>
      <rPr>
        <sz val="10"/>
        <rFont val="Malgun Gothic"/>
        <family val="0"/>
        <charset val="1"/>
      </rPr>
      <t xml:space="preserve">TOT/</t>
    </r>
    <r>
      <rPr>
        <sz val="10"/>
        <rFont val="Noto Sans CJK SC"/>
        <family val="2"/>
      </rPr>
      <t xml:space="preserve">푸시 시각이 있는 스티어포인트로 향할 때</t>
    </r>
  </si>
  <si>
    <r>
      <rPr>
        <sz val="10"/>
        <rFont val="Malgun Gothic"/>
        <family val="0"/>
        <charset val="1"/>
      </rPr>
      <t xml:space="preserve">NAV </t>
    </r>
    <r>
      <rPr>
        <sz val="10"/>
        <rFont val="Noto Sans CJK SC"/>
        <family val="2"/>
      </rPr>
      <t xml:space="preserve">모드 → </t>
    </r>
    <r>
      <rPr>
        <sz val="10"/>
        <rFont val="Malgun Gothic"/>
        <family val="0"/>
        <charset val="1"/>
      </rPr>
      <t xml:space="preserve">CNI → CRUS(5) TOS → M-SEL → STPT 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/DES TOS </t>
    </r>
    <r>
      <rPr>
        <sz val="10"/>
        <rFont val="Noto Sans CJK SC"/>
        <family val="2"/>
      </rPr>
      <t xml:space="preserve">입력 </t>
    </r>
    <r>
      <rPr>
        <sz val="10"/>
        <rFont val="Malgun Gothic"/>
        <family val="0"/>
        <charset val="1"/>
      </rPr>
      <t xml:space="preserve">ENTR → HUD Velocity GND SPD → </t>
    </r>
    <r>
      <rPr>
        <sz val="10"/>
        <rFont val="Noto Sans CJK SC"/>
        <family val="2"/>
      </rPr>
      <t xml:space="preserve">캐럿 추종</t>
    </r>
  </si>
  <si>
    <t xml:space="preserve">1-304</t>
  </si>
  <si>
    <t xml:space="preserve">MP-17</t>
  </si>
  <si>
    <t xml:space="preserve">핵타임 모드선택 절차</t>
  </si>
  <si>
    <t xml:space="preserve">Hack Time Mode Selection Procedures</t>
  </si>
  <si>
    <r>
      <rPr>
        <sz val="10"/>
        <rFont val="Malgun Gothic"/>
        <family val="0"/>
        <charset val="1"/>
      </rPr>
      <t xml:space="preserve">TOS </t>
    </r>
    <r>
      <rPr>
        <sz val="10"/>
        <rFont val="Noto Sans CJK SC"/>
        <family val="2"/>
      </rPr>
      <t xml:space="preserve">값이 절대 시각이 아닌 편대 타임 핵 기준 상대 시각으로 브리핑된 경우</t>
    </r>
  </si>
  <si>
    <r>
      <rPr>
        <sz val="10"/>
        <rFont val="Malgun Gothic"/>
        <family val="0"/>
        <charset val="1"/>
      </rPr>
      <t xml:space="preserve">CNI → TIME(6) → HACK </t>
    </r>
    <r>
      <rPr>
        <sz val="10"/>
        <rFont val="Noto Sans CJK SC"/>
        <family val="2"/>
      </rPr>
      <t xml:space="preserve">라벨 </t>
    </r>
    <r>
      <rPr>
        <sz val="10"/>
        <rFont val="Malgun Gothic"/>
        <family val="0"/>
        <charset val="1"/>
      </rPr>
      <t xml:space="preserve">'*' → M-SEL → HACK </t>
    </r>
    <r>
      <rPr>
        <sz val="10"/>
        <rFont val="Noto Sans CJK SC"/>
        <family val="2"/>
      </rPr>
      <t xml:space="preserve">하이라이트 확인 → </t>
    </r>
    <r>
      <rPr>
        <sz val="10"/>
        <rFont val="Malgun Gothic"/>
        <family val="0"/>
        <charset val="1"/>
      </rPr>
      <t xml:space="preserve">RTN (</t>
    </r>
    <r>
      <rPr>
        <sz val="10"/>
        <rFont val="Noto Sans CJK SC"/>
        <family val="2"/>
      </rPr>
      <t xml:space="preserve">대안</t>
    </r>
    <r>
      <rPr>
        <sz val="10"/>
        <rFont val="Malgun Gothic"/>
        <family val="0"/>
        <charset val="1"/>
      </rPr>
      <t xml:space="preserve">: DELTA TOS </t>
    </r>
    <r>
      <rPr>
        <sz val="10"/>
        <rFont val="Noto Sans CJK SC"/>
        <family val="2"/>
      </rPr>
      <t xml:space="preserve">입력</t>
    </r>
    <r>
      <rPr>
        <sz val="10"/>
        <rFont val="Malgun Gothic"/>
        <family val="0"/>
        <charset val="1"/>
      </rPr>
      <t xml:space="preserve">)</t>
    </r>
  </si>
  <si>
    <t xml:space="preserve">1-306</t>
  </si>
  <si>
    <t xml:space="preserve">IF-02</t>
  </si>
  <si>
    <r>
      <rPr>
        <sz val="10"/>
        <rFont val="Noto Sans CJK SC"/>
        <family val="2"/>
      </rPr>
      <t xml:space="preserve">조종점 통과시각</t>
    </r>
    <r>
      <rPr>
        <sz val="10"/>
        <rFont val="Malgun Gothic"/>
        <family val="0"/>
        <charset val="1"/>
      </rPr>
      <t xml:space="preserve">(TOS) </t>
    </r>
    <r>
      <rPr>
        <sz val="10"/>
        <rFont val="Noto Sans CJK SC"/>
        <family val="2"/>
      </rPr>
      <t xml:space="preserve">절차</t>
    </r>
  </si>
  <si>
    <t xml:space="preserve">Time Over Steerpoint (TOS) Procedures</t>
  </si>
  <si>
    <r>
      <rPr>
        <sz val="10"/>
        <rFont val="Noto Sans CJK SC"/>
        <family val="2"/>
      </rPr>
      <t xml:space="preserve">브리핑된 </t>
    </r>
    <r>
      <rPr>
        <sz val="10"/>
        <rFont val="Malgun Gothic"/>
        <family val="0"/>
        <charset val="1"/>
      </rPr>
      <t xml:space="preserve">TOT/</t>
    </r>
    <r>
      <rPr>
        <sz val="10"/>
        <rFont val="Noto Sans CJK SC"/>
        <family val="2"/>
      </rPr>
      <t xml:space="preserve">랑데부 시각을 지켜야 하는 항법 구간 진입 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푸시 타임</t>
    </r>
    <r>
      <rPr>
        <sz val="10"/>
        <rFont val="Malgun Gothic"/>
        <family val="0"/>
        <charset val="1"/>
      </rPr>
      <t xml:space="preserve">, IP </t>
    </r>
    <r>
      <rPr>
        <sz val="10"/>
        <rFont val="Noto Sans CJK SC"/>
        <family val="2"/>
      </rPr>
      <t xml:space="preserve">도착 시각 등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</si>
  <si>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CNI → CRUS(5) TOS → M-SEL(0)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DES TOS </t>
    </r>
    <r>
      <rPr>
        <sz val="10"/>
        <rFont val="Noto Sans CJK SC"/>
        <family val="2"/>
      </rPr>
      <t xml:space="preserve">입력 </t>
    </r>
    <r>
      <rPr>
        <sz val="10"/>
        <rFont val="Malgun Gothic"/>
        <family val="0"/>
        <charset val="1"/>
      </rPr>
      <t xml:space="preserve">ENTR → HUD GND SPD → </t>
    </r>
    <r>
      <rPr>
        <sz val="10"/>
        <rFont val="Noto Sans CJK SC"/>
        <family val="2"/>
      </rPr>
      <t xml:space="preserve">속도 캐럿 추종</t>
    </r>
  </si>
  <si>
    <t xml:space="preserve">1-325</t>
  </si>
  <si>
    <t xml:space="preserve">IF-03</t>
  </si>
  <si>
    <r>
      <rPr>
        <sz val="10"/>
        <rFont val="Noto Sans CJK SC"/>
        <family val="2"/>
      </rPr>
      <t xml:space="preserve">최대 항속거리</t>
    </r>
    <r>
      <rPr>
        <sz val="10"/>
        <rFont val="Malgun Gothic"/>
        <family val="0"/>
        <charset val="1"/>
      </rPr>
      <t xml:space="preserve">(RNG) </t>
    </r>
    <r>
      <rPr>
        <sz val="10"/>
        <rFont val="Noto Sans CJK SC"/>
        <family val="2"/>
      </rPr>
      <t xml:space="preserve">절차</t>
    </r>
  </si>
  <si>
    <t xml:space="preserve">Maximum Range Procedures</t>
  </si>
  <si>
    <r>
      <rPr>
        <sz val="10"/>
        <rFont val="Noto Sans CJK SC"/>
        <family val="2"/>
      </rPr>
      <t xml:space="preserve">장거리 순항 구간 진입 또는 연료 여유가 부족한 상태에서 </t>
    </r>
    <r>
      <rPr>
        <sz val="10"/>
        <rFont val="Malgun Gothic"/>
        <family val="0"/>
        <charset val="1"/>
      </rPr>
      <t xml:space="preserve">RTB/</t>
    </r>
    <r>
      <rPr>
        <sz val="10"/>
        <rFont val="Noto Sans CJK SC"/>
        <family val="2"/>
      </rPr>
      <t xml:space="preserve">전환 비행 시작 시</t>
    </r>
  </si>
  <si>
    <r>
      <rPr>
        <sz val="10"/>
        <rFont val="Malgun Gothic"/>
        <family val="0"/>
        <charset val="1"/>
      </rPr>
      <t xml:space="preserve">CNI → CRUS(5) → SEQ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RNG → M-SEL(0) → HUD </t>
    </r>
    <r>
      <rPr>
        <sz val="10"/>
        <rFont val="Noto Sans CJK SC"/>
        <family val="2"/>
      </rPr>
      <t xml:space="preserve">속도 캐럿 추종</t>
    </r>
  </si>
  <si>
    <t xml:space="preserve">1-326</t>
  </si>
  <si>
    <t xml:space="preserve">IF-04</t>
  </si>
  <si>
    <r>
      <rPr>
        <sz val="10"/>
        <rFont val="Noto Sans CJK SC"/>
        <family val="2"/>
      </rPr>
      <t xml:space="preserve">최대 체공시간</t>
    </r>
    <r>
      <rPr>
        <sz val="10"/>
        <rFont val="Malgun Gothic"/>
        <family val="0"/>
        <charset val="1"/>
      </rPr>
      <t xml:space="preserve">(EDR) </t>
    </r>
    <r>
      <rPr>
        <sz val="10"/>
        <rFont val="Noto Sans CJK SC"/>
        <family val="2"/>
      </rPr>
      <t xml:space="preserve">절차</t>
    </r>
  </si>
  <si>
    <t xml:space="preserve">Maximum Endurance Procedures</t>
  </si>
  <si>
    <r>
      <rPr>
        <sz val="10"/>
        <rFont val="Noto Sans CJK SC"/>
        <family val="2"/>
      </rPr>
      <t xml:space="preserve">홀딩</t>
    </r>
    <r>
      <rPr>
        <sz val="10"/>
        <rFont val="Malgun Gothic"/>
        <family val="0"/>
        <charset val="1"/>
      </rPr>
      <t xml:space="preserve">·CAP </t>
    </r>
    <r>
      <rPr>
        <sz val="10"/>
        <rFont val="Noto Sans CJK SC"/>
        <family val="2"/>
      </rPr>
      <t xml:space="preserve">오빗 진입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탱커 대기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착륙 지연 등 특정 위치에서 체공이 필요할 때</t>
    </r>
  </si>
  <si>
    <r>
      <rPr>
        <sz val="10"/>
        <rFont val="Malgun Gothic"/>
        <family val="0"/>
        <charset val="1"/>
      </rPr>
      <t xml:space="preserve">CNI → CRUS(5) → SEQ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EDR → M-SEL(0) → </t>
    </r>
    <r>
      <rPr>
        <sz val="10"/>
        <rFont val="Noto Sans CJK SC"/>
        <family val="2"/>
      </rPr>
      <t xml:space="preserve">최적 마하</t>
    </r>
    <r>
      <rPr>
        <sz val="10"/>
        <rFont val="Malgun Gothic"/>
        <family val="0"/>
        <charset val="1"/>
      </rPr>
      <t xml:space="preserve">/Time-to-Bingo </t>
    </r>
    <r>
      <rPr>
        <sz val="10"/>
        <rFont val="Noto Sans CJK SC"/>
        <family val="2"/>
      </rPr>
      <t xml:space="preserve">확인 → 속도 캐럿 추종</t>
    </r>
  </si>
  <si>
    <t xml:space="preserve">1-328</t>
  </si>
  <si>
    <t xml:space="preserve">IF-12</t>
  </si>
  <si>
    <r>
      <rPr>
        <sz val="10"/>
        <rFont val="Noto Sans CJK SC"/>
        <family val="2"/>
      </rPr>
      <t xml:space="preserve">비행 중 </t>
    </r>
    <r>
      <rPr>
        <sz val="10"/>
        <rFont val="Malgun Gothic"/>
        <family val="0"/>
        <charset val="1"/>
      </rPr>
      <t xml:space="preserve">FLIR </t>
    </r>
    <r>
      <rPr>
        <sz val="10"/>
        <rFont val="Noto Sans CJK SC"/>
        <family val="2"/>
      </rPr>
      <t xml:space="preserve">보어사이트 절차</t>
    </r>
  </si>
  <si>
    <t xml:space="preserve">FLIR Boresight Inflight Procedures</t>
  </si>
  <si>
    <r>
      <rPr>
        <sz val="10"/>
        <rFont val="Noto Sans CJK SC"/>
        <family val="2"/>
      </rPr>
      <t xml:space="preserve">비행 중 </t>
    </r>
    <r>
      <rPr>
        <sz val="10"/>
        <rFont val="Malgun Gothic"/>
        <family val="0"/>
        <charset val="1"/>
      </rPr>
      <t xml:space="preserve">HUD-FLIR </t>
    </r>
    <r>
      <rPr>
        <sz val="10"/>
        <rFont val="Noto Sans CJK SC"/>
        <family val="2"/>
      </rPr>
      <t xml:space="preserve">영상 정렬 오차 발견 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편대 우군기 활용 가능 시</t>
    </r>
    <r>
      <rPr>
        <sz val="10"/>
        <rFont val="Malgun Gothic"/>
        <family val="0"/>
        <charset val="1"/>
      </rPr>
      <t xml:space="preserve">)</t>
    </r>
  </si>
  <si>
    <t xml:space="preserve">1-357</t>
  </si>
  <si>
    <t xml:space="preserve">IF-14</t>
  </si>
  <si>
    <r>
      <rPr>
        <sz val="10"/>
        <rFont val="Noto Sans CJK SC"/>
        <family val="2"/>
      </rPr>
      <t xml:space="preserve">지형추적</t>
    </r>
    <r>
      <rPr>
        <sz val="10"/>
        <rFont val="Malgun Gothic"/>
        <family val="0"/>
        <charset val="1"/>
      </rPr>
      <t xml:space="preserve">(TF) </t>
    </r>
    <r>
      <rPr>
        <sz val="10"/>
        <rFont val="Noto Sans CJK SC"/>
        <family val="2"/>
      </rPr>
      <t xml:space="preserve">신뢰성 점검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</si>
  <si>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Terrain Following Confidence Check (Optional) Procedures</t>
  </si>
  <si>
    <r>
      <rPr>
        <sz val="10"/>
        <rFont val="Malgun Gothic"/>
        <family val="0"/>
        <charset val="1"/>
      </rPr>
      <t xml:space="preserve">TF </t>
    </r>
    <r>
      <rPr>
        <sz val="10"/>
        <rFont val="Noto Sans CJK SC"/>
        <family val="2"/>
      </rPr>
      <t xml:space="preserve">임무 전 신뢰성 점검 비행이 계획된 경우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</si>
  <si>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미구현 — </t>
    </r>
    <r>
      <rPr>
        <sz val="10"/>
        <rFont val="Malgun Gothic"/>
        <family val="0"/>
        <charset val="1"/>
      </rPr>
      <t xml:space="preserve">TF </t>
    </r>
    <r>
      <rPr>
        <sz val="10"/>
        <rFont val="Noto Sans CJK SC"/>
        <family val="2"/>
      </rPr>
      <t xml:space="preserve">신뢰성 점검 없음</t>
    </r>
  </si>
  <si>
    <t xml:space="preserve">1-359</t>
  </si>
  <si>
    <t xml:space="preserve">IF-15</t>
  </si>
  <si>
    <t xml:space="preserve">레이더 픽스 업데이트 절차</t>
  </si>
  <si>
    <t xml:space="preserve">Radar Fix Update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</si>
  <si>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상실 또는 </t>
    </r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드리프트 의심</t>
    </r>
    <r>
      <rPr>
        <sz val="10"/>
        <rFont val="Malgun Gothic"/>
        <family val="0"/>
        <charset val="1"/>
      </rPr>
      <t xml:space="preserve">(HSD/FCR </t>
    </r>
    <r>
      <rPr>
        <sz val="10"/>
        <rFont val="Noto Sans CJK SC"/>
        <family val="2"/>
      </rPr>
      <t xml:space="preserve">커서와 실제 지형 불일치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표적 진입 전 알려진 레이더 지표물 </t>
    </r>
    <r>
      <rPr>
        <sz val="10"/>
        <rFont val="Malgun Gothic"/>
        <family val="0"/>
        <charset val="1"/>
      </rPr>
      <t xml:space="preserve">10nm </t>
    </r>
    <r>
      <rPr>
        <sz val="10"/>
        <rFont val="Noto Sans CJK SC"/>
        <family val="2"/>
      </rPr>
      <t xml:space="preserve">이내 접근 시</t>
    </r>
  </si>
  <si>
    <r>
      <rPr>
        <sz val="10"/>
        <rFont val="Malgun Gothic"/>
        <family val="0"/>
        <charset val="1"/>
      </rPr>
      <t xml:space="preserve">NAV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FCR GM SOI(DMS DOWN) → </t>
    </r>
    <r>
      <rPr>
        <sz val="10"/>
        <rFont val="Noto Sans CJK SC"/>
        <family val="2"/>
      </rPr>
      <t xml:space="preserve">커서 지표물 슬루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지정 → </t>
    </r>
    <r>
      <rPr>
        <sz val="10"/>
        <rFont val="Malgun Gothic"/>
        <family val="0"/>
        <charset val="1"/>
      </rPr>
      <t xml:space="preserve">FIX(8) → SEQ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FCR → </t>
    </r>
    <r>
      <rPr>
        <sz val="10"/>
        <rFont val="Noto Sans CJK SC"/>
        <family val="2"/>
      </rPr>
      <t xml:space="preserve">델타 확인 </t>
    </r>
    <r>
      <rPr>
        <sz val="10"/>
        <rFont val="Malgun Gothic"/>
        <family val="0"/>
        <charset val="1"/>
      </rPr>
      <t xml:space="preserve">TMS UP → ENTR(</t>
    </r>
    <r>
      <rPr>
        <sz val="10"/>
        <rFont val="Noto Sans CJK SC"/>
        <family val="2"/>
      </rPr>
      <t xml:space="preserve">거부 시 </t>
    </r>
    <r>
      <rPr>
        <sz val="10"/>
        <rFont val="Malgun Gothic"/>
        <family val="0"/>
        <charset val="1"/>
      </rPr>
      <t xml:space="preserve">RTN)</t>
    </r>
  </si>
  <si>
    <t xml:space="preserve">1-369</t>
  </si>
  <si>
    <t xml:space="preserve">IF-16</t>
  </si>
  <si>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픽스 업데이트 절차</t>
    </r>
  </si>
  <si>
    <t xml:space="preserve">HUD Fix Update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</si>
  <si>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</t>
    </r>
    <r>
      <rPr>
        <sz val="10"/>
        <rFont val="Malgun Gothic"/>
        <family val="0"/>
        <charset val="1"/>
      </rPr>
      <t xml:space="preserve">·INS </t>
    </r>
    <r>
      <rPr>
        <sz val="10"/>
        <rFont val="Noto Sans CJK SC"/>
        <family val="2"/>
      </rPr>
      <t xml:space="preserve">드리프트 의심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시계비행으로 스티어포인트 실제 위치를 </t>
    </r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시야 내에서 식별 가능할 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가파른 </t>
    </r>
    <r>
      <rPr>
        <sz val="10"/>
        <rFont val="Malgun Gothic"/>
        <family val="0"/>
        <charset val="1"/>
      </rPr>
      <t xml:space="preserve">grazing angle)</t>
    </r>
  </si>
  <si>
    <r>
      <rPr>
        <sz val="10"/>
        <rFont val="Malgun Gothic"/>
        <family val="0"/>
        <charset val="1"/>
      </rPr>
      <t xml:space="preserve">NAV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FIX(8) → SEQ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HUD → DMS UP(HUD SOI) → </t>
    </r>
    <r>
      <rPr>
        <sz val="10"/>
        <rFont val="Noto Sans CJK SC"/>
        <family val="2"/>
      </rPr>
      <t xml:space="preserve">다이아몬드 슬루 → </t>
    </r>
    <r>
      <rPr>
        <sz val="10"/>
        <rFont val="Malgun Gothic"/>
        <family val="0"/>
        <charset val="1"/>
      </rPr>
      <t xml:space="preserve">TMS UP → </t>
    </r>
    <r>
      <rPr>
        <sz val="10"/>
        <rFont val="Noto Sans CJK SC"/>
        <family val="2"/>
      </rPr>
      <t xml:space="preserve">델타 확인 → </t>
    </r>
    <r>
      <rPr>
        <sz val="10"/>
        <rFont val="Malgun Gothic"/>
        <family val="0"/>
        <charset val="1"/>
      </rPr>
      <t xml:space="preserve">ENTR</t>
    </r>
  </si>
  <si>
    <t xml:space="preserve">1-370</t>
  </si>
  <si>
    <t xml:space="preserve">IF-17</t>
  </si>
  <si>
    <t xml:space="preserve">오버플라이 픽스 업데이트 절차</t>
  </si>
  <si>
    <t xml:space="preserve">Overfly Fix Update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</si>
  <si>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</t>
    </r>
    <r>
      <rPr>
        <sz val="10"/>
        <rFont val="Malgun Gothic"/>
        <family val="0"/>
        <charset val="1"/>
      </rPr>
      <t xml:space="preserve">·INS </t>
    </r>
    <r>
      <rPr>
        <sz val="10"/>
        <rFont val="Noto Sans CJK SC"/>
        <family val="2"/>
      </rPr>
      <t xml:space="preserve">드리프트 의심 시 알려진 스티어포인트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지표물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상공 통과 직전</t>
    </r>
  </si>
  <si>
    <r>
      <rPr>
        <sz val="10"/>
        <rFont val="Malgun Gothic"/>
        <family val="0"/>
        <charset val="1"/>
      </rPr>
      <t xml:space="preserve">NAV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FIX(8) OFLY → </t>
    </r>
    <r>
      <rPr>
        <sz val="10"/>
        <rFont val="Noto Sans CJK SC"/>
        <family val="2"/>
      </rPr>
      <t xml:space="preserve">상공 통과 시 </t>
    </r>
    <r>
      <rPr>
        <sz val="10"/>
        <rFont val="Malgun Gothic"/>
        <family val="0"/>
        <charset val="1"/>
      </rPr>
      <t xml:space="preserve">TMS UP → </t>
    </r>
    <r>
      <rPr>
        <sz val="10"/>
        <rFont val="Noto Sans CJK SC"/>
        <family val="2"/>
      </rPr>
      <t xml:space="preserve">델타 확인 → </t>
    </r>
    <r>
      <rPr>
        <sz val="10"/>
        <rFont val="Malgun Gothic"/>
        <family val="0"/>
        <charset val="1"/>
      </rPr>
      <t xml:space="preserve">ENTR</t>
    </r>
  </si>
  <si>
    <t xml:space="preserve">1-372</t>
  </si>
  <si>
    <t xml:space="preserve">IF-18</t>
  </si>
  <si>
    <r>
      <rPr>
        <sz val="10"/>
        <rFont val="Malgun Gothic"/>
        <family val="0"/>
        <charset val="1"/>
      </rPr>
      <t xml:space="preserve">TGP(</t>
    </r>
    <r>
      <rPr>
        <sz val="10"/>
        <rFont val="Noto Sans CJK SC"/>
        <family val="2"/>
      </rPr>
      <t xml:space="preserve">표적지시포드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픽스 업데이트 절차</t>
    </r>
  </si>
  <si>
    <t xml:space="preserve">Targeting Pod Fix Update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</si>
  <si>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</t>
    </r>
    <r>
      <rPr>
        <sz val="10"/>
        <rFont val="Malgun Gothic"/>
        <family val="0"/>
        <charset val="1"/>
      </rPr>
      <t xml:space="preserve">·INS </t>
    </r>
    <r>
      <rPr>
        <sz val="10"/>
        <rFont val="Noto Sans CJK SC"/>
        <family val="2"/>
      </rPr>
      <t xml:space="preserve">드리프트 의심 시 </t>
    </r>
    <r>
      <rPr>
        <sz val="10"/>
        <rFont val="Malgun Gothic"/>
        <family val="0"/>
        <charset val="1"/>
      </rPr>
      <t xml:space="preserve">TGP</t>
    </r>
    <r>
      <rPr>
        <sz val="10"/>
        <rFont val="Noto Sans CJK SC"/>
        <family val="2"/>
      </rPr>
      <t xml:space="preserve">가 </t>
    </r>
    <r>
      <rPr>
        <sz val="10"/>
        <rFont val="Malgun Gothic"/>
        <family val="0"/>
        <charset val="1"/>
      </rPr>
      <t xml:space="preserve">A-G </t>
    </r>
    <r>
      <rPr>
        <sz val="10"/>
        <rFont val="Noto Sans CJK SC"/>
        <family val="2"/>
      </rPr>
      <t xml:space="preserve">모드로 운용 중이고 스티어포인트 지표물이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영상으로 식별될 때</t>
    </r>
  </si>
  <si>
    <r>
      <rPr>
        <sz val="10"/>
        <rFont val="Malgun Gothic"/>
        <family val="0"/>
        <charset val="1"/>
      </rPr>
      <t xml:space="preserve">NAV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TGP A-G/SOI(DMS DOWN) → </t>
    </r>
    <r>
      <rPr>
        <sz val="10"/>
        <rFont val="Noto Sans CJK SC"/>
        <family val="2"/>
      </rPr>
      <t xml:space="preserve">레티클 슬루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포인트트랙 → </t>
    </r>
    <r>
      <rPr>
        <sz val="10"/>
        <rFont val="Malgun Gothic"/>
        <family val="0"/>
        <charset val="1"/>
      </rPr>
      <t xml:space="preserve">Laser ARM/1</t>
    </r>
    <r>
      <rPr>
        <sz val="10"/>
        <rFont val="Noto Sans CJK SC"/>
        <family val="2"/>
      </rPr>
      <t xml:space="preserve">단 트리거 → </t>
    </r>
    <r>
      <rPr>
        <sz val="10"/>
        <rFont val="Malgun Gothic"/>
        <family val="0"/>
        <charset val="1"/>
      </rPr>
      <t xml:space="preserve">FIX(8) → SEQ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TGP → TMS UP → ENTR</t>
    </r>
  </si>
  <si>
    <t xml:space="preserve">IF-21</t>
  </si>
  <si>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고도교정</t>
    </r>
    <r>
      <rPr>
        <sz val="10"/>
        <rFont val="Malgun Gothic"/>
        <family val="0"/>
        <charset val="1"/>
      </rPr>
      <t xml:space="preserve">(ACAL) </t>
    </r>
    <r>
      <rPr>
        <sz val="10"/>
        <rFont val="Noto Sans CJK SC"/>
        <family val="2"/>
      </rPr>
      <t xml:space="preserve">절차</t>
    </r>
  </si>
  <si>
    <t xml:space="preserve">HUD Altitude Calibration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</si>
  <si>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</t>
    </r>
    <r>
      <rPr>
        <sz val="10"/>
        <rFont val="Malgun Gothic"/>
        <family val="0"/>
        <charset val="1"/>
      </rPr>
      <t xml:space="preserve">·AUTO ACAL </t>
    </r>
    <r>
      <rPr>
        <sz val="10"/>
        <rFont val="Noto Sans CJK SC"/>
        <family val="2"/>
      </rPr>
      <t xml:space="preserve">불가 상태에서 조준점 접근 시 커서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다이아몬드 드리프트가 관측될 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FIX </t>
    </r>
    <r>
      <rPr>
        <sz val="10"/>
        <rFont val="Noto Sans CJK SC"/>
        <family val="2"/>
      </rPr>
      <t xml:space="preserve">수행 전 고도 오차 의심 시</t>
    </r>
  </si>
  <si>
    <r>
      <rPr>
        <sz val="10"/>
        <rFont val="Malgun Gothic"/>
        <family val="0"/>
        <charset val="1"/>
      </rPr>
      <t xml:space="preserve">NAV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A-CAL(9) → RIGHT(MAN) → RIGHT(ALT) → M-SEL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HUD → DMS UP → </t>
    </r>
    <r>
      <rPr>
        <sz val="10"/>
        <rFont val="Noto Sans CJK SC"/>
        <family val="2"/>
      </rPr>
      <t xml:space="preserve">다이아몬드 슬루 → </t>
    </r>
    <r>
      <rPr>
        <sz val="10"/>
        <rFont val="Malgun Gothic"/>
        <family val="0"/>
        <charset val="1"/>
      </rPr>
      <t xml:space="preserve">TMS UP → ENTR</t>
    </r>
  </si>
  <si>
    <t xml:space="preserve">1-378</t>
  </si>
  <si>
    <t xml:space="preserve">IF-22</t>
  </si>
  <si>
    <r>
      <rPr>
        <sz val="10"/>
        <rFont val="Malgun Gothic"/>
        <family val="0"/>
        <charset val="1"/>
      </rPr>
      <t xml:space="preserve">FCR </t>
    </r>
    <r>
      <rPr>
        <sz val="10"/>
        <rFont val="Noto Sans CJK SC"/>
        <family val="2"/>
      </rPr>
      <t xml:space="preserve">고도교정</t>
    </r>
    <r>
      <rPr>
        <sz val="10"/>
        <rFont val="Malgun Gothic"/>
        <family val="0"/>
        <charset val="1"/>
      </rPr>
      <t xml:space="preserve">(ACAL) </t>
    </r>
    <r>
      <rPr>
        <sz val="10"/>
        <rFont val="Noto Sans CJK SC"/>
        <family val="2"/>
      </rPr>
      <t xml:space="preserve">절차</t>
    </r>
  </si>
  <si>
    <t xml:space="preserve">FCR Altitude Calibration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</si>
  <si>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 상태에서 레이더 픽스 전 커서 드리프트 관측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알려진 표고의 레이더 지표물 </t>
    </r>
    <r>
      <rPr>
        <sz val="10"/>
        <rFont val="Malgun Gothic"/>
        <family val="0"/>
        <charset val="1"/>
      </rPr>
      <t xml:space="preserve">10nm </t>
    </r>
    <r>
      <rPr>
        <sz val="10"/>
        <rFont val="Noto Sans CJK SC"/>
        <family val="2"/>
      </rPr>
      <t xml:space="preserve">이내</t>
    </r>
  </si>
  <si>
    <r>
      <rPr>
        <sz val="10"/>
        <rFont val="Malgun Gothic"/>
        <family val="0"/>
        <charset val="1"/>
      </rPr>
      <t xml:space="preserve">NAV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FCR GM SOI → </t>
    </r>
    <r>
      <rPr>
        <sz val="10"/>
        <rFont val="Noto Sans CJK SC"/>
        <family val="2"/>
      </rPr>
      <t xml:space="preserve">크로스헤어 조준점 → </t>
    </r>
    <r>
      <rPr>
        <sz val="10"/>
        <rFont val="Malgun Gothic"/>
        <family val="0"/>
        <charset val="1"/>
      </rPr>
      <t xml:space="preserve">TMS UP(FTT) → A-CAL(9) → MAN → ALT → M-SEL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FCR → TMS UP → ENTR</t>
    </r>
  </si>
  <si>
    <t xml:space="preserve">1-379</t>
  </si>
  <si>
    <t xml:space="preserve">IF-23</t>
  </si>
  <si>
    <r>
      <rPr>
        <sz val="10"/>
        <rFont val="Noto Sans CJK SC"/>
        <family val="2"/>
      </rPr>
      <t xml:space="preserve">전파고도계</t>
    </r>
    <r>
      <rPr>
        <sz val="10"/>
        <rFont val="Malgun Gothic"/>
        <family val="0"/>
        <charset val="1"/>
      </rPr>
      <t xml:space="preserve">(RALT) </t>
    </r>
    <r>
      <rPr>
        <sz val="10"/>
        <rFont val="Noto Sans CJK SC"/>
        <family val="2"/>
      </rPr>
      <t xml:space="preserve">고도교정 절차</t>
    </r>
  </si>
  <si>
    <t xml:space="preserve">Radar Altimeter Altitude Calibration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</si>
  <si>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 상태에서 표고를 정확히 아는 평탄 지점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스티어포인트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상공 통과 직전</t>
    </r>
    <r>
      <rPr>
        <sz val="10"/>
        <rFont val="Malgun Gothic"/>
        <family val="0"/>
        <charset val="1"/>
      </rPr>
      <t xml:space="preserve">, RDR ALT ON </t>
    </r>
    <r>
      <rPr>
        <sz val="10"/>
        <rFont val="Noto Sans CJK SC"/>
        <family val="2"/>
      </rPr>
      <t xml:space="preserve">상태</t>
    </r>
  </si>
  <si>
    <r>
      <rPr>
        <sz val="10"/>
        <rFont val="Malgun Gothic"/>
        <family val="0"/>
        <charset val="1"/>
      </rPr>
      <t xml:space="preserve">RDR ALT ON → NAV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A-CAL(9) → MAN → ALT → M-SEL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RALT → </t>
    </r>
    <r>
      <rPr>
        <sz val="10"/>
        <rFont val="Noto Sans CJK SC"/>
        <family val="2"/>
      </rPr>
      <t xml:space="preserve">상공 통과 시 </t>
    </r>
    <r>
      <rPr>
        <sz val="10"/>
        <rFont val="Malgun Gothic"/>
        <family val="0"/>
        <charset val="1"/>
      </rPr>
      <t xml:space="preserve">TMS UP → ENTR</t>
    </r>
  </si>
  <si>
    <t xml:space="preserve">1-381</t>
  </si>
  <si>
    <t xml:space="preserve">IF-24</t>
  </si>
  <si>
    <r>
      <rPr>
        <sz val="10"/>
        <rFont val="Malgun Gothic"/>
        <family val="0"/>
        <charset val="1"/>
      </rPr>
      <t xml:space="preserve">TGP(</t>
    </r>
    <r>
      <rPr>
        <sz val="10"/>
        <rFont val="Noto Sans CJK SC"/>
        <family val="2"/>
      </rPr>
      <t xml:space="preserve">표적지시포드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고도교정 절차</t>
    </r>
  </si>
  <si>
    <t xml:space="preserve">Targeting Pod Altitude Calibration Procedures</t>
  </si>
  <si>
    <r>
      <rPr>
        <sz val="10"/>
        <rFont val="Malgun Gothic"/>
        <family val="0"/>
        <charset val="1"/>
      </rPr>
      <t xml:space="preserve">GPS </t>
    </r>
    <r>
      <rPr>
        <sz val="10"/>
        <rFont val="Noto Sans CJK SC"/>
        <family val="2"/>
      </rPr>
      <t xml:space="preserve">거부 상태에서 </t>
    </r>
    <r>
      <rPr>
        <sz val="10"/>
        <rFont val="Malgun Gothic"/>
        <family val="0"/>
        <charset val="1"/>
      </rPr>
      <t xml:space="preserve">TGP A-G </t>
    </r>
    <r>
      <rPr>
        <sz val="10"/>
        <rFont val="Noto Sans CJK SC"/>
        <family val="2"/>
      </rPr>
      <t xml:space="preserve">운용 중 알려진 표고의 조준점을 트랙할 수 있을 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가파른 </t>
    </r>
    <r>
      <rPr>
        <sz val="10"/>
        <rFont val="Malgun Gothic"/>
        <family val="0"/>
        <charset val="1"/>
      </rPr>
      <t xml:space="preserve">grazing angle)</t>
    </r>
  </si>
  <si>
    <r>
      <rPr>
        <sz val="10"/>
        <rFont val="Malgun Gothic"/>
        <family val="0"/>
        <charset val="1"/>
      </rPr>
      <t xml:space="preserve">NAV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TGP SOI → </t>
    </r>
    <r>
      <rPr>
        <sz val="10"/>
        <rFont val="Noto Sans CJK SC"/>
        <family val="2"/>
      </rPr>
      <t xml:space="preserve">레티클 슬루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포인트트랙 → </t>
    </r>
    <r>
      <rPr>
        <sz val="10"/>
        <rFont val="Malgun Gothic"/>
        <family val="0"/>
        <charset val="1"/>
      </rPr>
      <t xml:space="preserve">Laser ARM/1</t>
    </r>
    <r>
      <rPr>
        <sz val="10"/>
        <rFont val="Noto Sans CJK SC"/>
        <family val="2"/>
      </rPr>
      <t xml:space="preserve">단 트리거 → </t>
    </r>
    <r>
      <rPr>
        <sz val="10"/>
        <rFont val="Malgun Gothic"/>
        <family val="0"/>
        <charset val="1"/>
      </rPr>
      <t xml:space="preserve">A-CAL(9) → MAN → ALT → M-SEL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TGP → TMS UP → ENTR</t>
    </r>
  </si>
  <si>
    <t xml:space="preserve">1-382</t>
  </si>
  <si>
    <t xml:space="preserve">AG-23</t>
  </si>
  <si>
    <r>
      <rPr>
        <sz val="10"/>
        <rFont val="Noto Sans CJK SC"/>
        <family val="2"/>
      </rPr>
      <t xml:space="preserve">공중사격 예인표적</t>
    </r>
    <r>
      <rPr>
        <sz val="10"/>
        <rFont val="Malgun Gothic"/>
        <family val="0"/>
        <charset val="1"/>
      </rPr>
      <t xml:space="preserve">(AGTS) </t>
    </r>
    <r>
      <rPr>
        <sz val="10"/>
        <rFont val="Noto Sans CJK SC"/>
        <family val="2"/>
      </rPr>
      <t xml:space="preserve">전개 절차</t>
    </r>
  </si>
  <si>
    <t xml:space="preserve">Aerial Gunnery Target Set (AGTS) Deployment Procedures</t>
  </si>
  <si>
    <r>
      <rPr>
        <sz val="10"/>
        <rFont val="Noto Sans CJK SC"/>
        <family val="2"/>
      </rPr>
      <t xml:space="preserve">사격장 진입 전 예인구역 도달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사격기 편대와 합류 전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</si>
  <si>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— AGTS </t>
    </r>
    <r>
      <rPr>
        <sz val="10"/>
        <rFont val="Noto Sans CJK SC"/>
        <family val="2"/>
      </rPr>
      <t xml:space="preserve">전개</t>
    </r>
  </si>
  <si>
    <t xml:space="preserve">1-468</t>
  </si>
  <si>
    <t xml:space="preserve">AG-24</t>
  </si>
  <si>
    <r>
      <rPr>
        <sz val="10"/>
        <rFont val="Noto Sans CJK SC"/>
        <family val="2"/>
      </rPr>
      <t xml:space="preserve">공중사격 예인표적</t>
    </r>
    <r>
      <rPr>
        <sz val="10"/>
        <rFont val="Malgun Gothic"/>
        <family val="0"/>
        <charset val="1"/>
      </rPr>
      <t xml:space="preserve">(AGTS) </t>
    </r>
    <r>
      <rPr>
        <sz val="10"/>
        <rFont val="Noto Sans CJK SC"/>
        <family val="2"/>
      </rPr>
      <t xml:space="preserve">예인</t>
    </r>
    <r>
      <rPr>
        <sz val="10"/>
        <rFont val="Malgun Gothic"/>
        <family val="0"/>
        <charset val="1"/>
      </rPr>
      <t xml:space="preserve">(Tow) </t>
    </r>
    <r>
      <rPr>
        <sz val="10"/>
        <rFont val="Noto Sans CJK SC"/>
        <family val="2"/>
      </rPr>
      <t xml:space="preserve">절차</t>
    </r>
  </si>
  <si>
    <t xml:space="preserve">Aerial Gunnery Target Set (AGTS) Tow Procedures</t>
  </si>
  <si>
    <r>
      <rPr>
        <sz val="10"/>
        <rFont val="Malgun Gothic"/>
        <family val="0"/>
        <charset val="1"/>
      </rPr>
      <t xml:space="preserve">AGTS </t>
    </r>
    <r>
      <rPr>
        <sz val="10"/>
        <rFont val="Noto Sans CJK SC"/>
        <family val="2"/>
      </rPr>
      <t xml:space="preserve">전개 완료 후 사격 진행 중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</si>
  <si>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— AGTS </t>
    </r>
    <r>
      <rPr>
        <sz val="10"/>
        <rFont val="Noto Sans CJK SC"/>
        <family val="2"/>
      </rPr>
      <t xml:space="preserve">예인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채점</t>
    </r>
  </si>
  <si>
    <t xml:space="preserve">1-469</t>
  </si>
  <si>
    <r>
      <rPr>
        <b val="true"/>
        <sz val="10"/>
        <rFont val="Malgun Gothic"/>
        <family val="0"/>
        <charset val="1"/>
      </rPr>
      <t xml:space="preserve">■ P9  </t>
    </r>
    <r>
      <rPr>
        <b val="true"/>
        <sz val="10"/>
        <rFont val="Noto Sans CJK SC"/>
        <family val="2"/>
      </rPr>
      <t xml:space="preserve">공중급유  </t>
    </r>
    <r>
      <rPr>
        <b val="true"/>
        <sz val="10"/>
        <rFont val="Malgun Gothic"/>
        <family val="0"/>
        <charset val="1"/>
      </rPr>
      <t xml:space="preserve">(Air-to-Air Refueling) — AAR </t>
    </r>
    <r>
      <rPr>
        <b val="true"/>
        <sz val="10"/>
        <rFont val="Noto Sans CJK SC"/>
        <family val="2"/>
      </rPr>
      <t xml:space="preserve">접근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접촉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이탈</t>
    </r>
    <r>
      <rPr>
        <b val="true"/>
        <sz val="10"/>
        <rFont val="Malgun Gothic"/>
        <family val="0"/>
        <charset val="1"/>
      </rPr>
      <t xml:space="preserve">.</t>
    </r>
  </si>
  <si>
    <t xml:space="preserve">P9</t>
  </si>
  <si>
    <t xml:space="preserve">공중급유</t>
  </si>
  <si>
    <t xml:space="preserve">R-01</t>
  </si>
  <si>
    <r>
      <rPr>
        <sz val="10"/>
        <rFont val="Noto Sans CJK SC"/>
        <family val="2"/>
      </rPr>
      <t xml:space="preserve">공중급유 개요 및 탱커</t>
    </r>
    <r>
      <rPr>
        <sz val="10"/>
        <rFont val="Malgun Gothic"/>
        <family val="0"/>
        <charset val="1"/>
      </rPr>
      <t xml:space="preserve">-</t>
    </r>
    <r>
      <rPr>
        <sz val="10"/>
        <rFont val="Noto Sans CJK SC"/>
        <family val="2"/>
      </rPr>
      <t xml:space="preserve">수급기 편대 통제</t>
    </r>
  </si>
  <si>
    <t xml:space="preserve">General / Control of Tanker-Receiver Forces</t>
  </si>
  <si>
    <r>
      <rPr>
        <sz val="10"/>
        <rFont val="Noto Sans CJK SC"/>
        <family val="2"/>
      </rPr>
      <t xml:space="preserve">미션에 공중급유가 계획되어 </t>
    </r>
    <r>
      <rPr>
        <sz val="10"/>
        <rFont val="Malgun Gothic"/>
        <family val="0"/>
        <charset val="1"/>
      </rPr>
      <t xml:space="preserve">ARCP/</t>
    </r>
    <r>
      <rPr>
        <sz val="10"/>
        <rFont val="Noto Sans CJK SC"/>
        <family val="2"/>
      </rPr>
      <t xml:space="preserve">탱커 트랙으로 향할 때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랑데부 전 시정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무선 상태 판단 시</t>
    </r>
  </si>
  <si>
    <r>
      <rPr>
        <sz val="10"/>
        <rFont val="Noto Sans CJK SC"/>
        <family val="2"/>
      </rPr>
      <t xml:space="preserve">탱커 기종</t>
    </r>
    <r>
      <rPr>
        <sz val="10"/>
        <rFont val="Malgun Gothic"/>
        <family val="0"/>
        <charset val="1"/>
      </rPr>
      <t xml:space="preserve">/TACAN/UHF </t>
    </r>
    <r>
      <rPr>
        <sz val="10"/>
        <rFont val="Noto Sans CJK SC"/>
        <family val="2"/>
      </rPr>
      <t xml:space="preserve">확인 → 시정 판단 → </t>
    </r>
    <r>
      <rPr>
        <sz val="10"/>
        <rFont val="Malgun Gothic"/>
        <family val="0"/>
        <charset val="1"/>
      </rPr>
      <t xml:space="preserve">COM1 </t>
    </r>
    <r>
      <rPr>
        <sz val="10"/>
        <rFont val="Noto Sans CJK SC"/>
        <family val="2"/>
      </rPr>
      <t xml:space="preserve">탱커 주파수 → </t>
    </r>
    <r>
      <rPr>
        <sz val="10"/>
        <rFont val="Malgun Gothic"/>
        <family val="0"/>
        <charset val="1"/>
      </rPr>
      <t xml:space="preserve">F-</t>
    </r>
    <r>
      <rPr>
        <sz val="10"/>
        <rFont val="Noto Sans CJK SC"/>
        <family val="2"/>
      </rPr>
      <t xml:space="preserve">메뉴 </t>
    </r>
    <r>
      <rPr>
        <sz val="10"/>
        <rFont val="Malgun Gothic"/>
        <family val="0"/>
        <charset val="1"/>
      </rPr>
      <t xml:space="preserve">Intent to refuel </t>
    </r>
    <r>
      <rPr>
        <sz val="10"/>
        <rFont val="Noto Sans CJK SC"/>
        <family val="2"/>
      </rPr>
      <t xml:space="preserve">응답 확인 → 지시 고도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속도로 랑데부</t>
    </r>
  </si>
  <si>
    <t xml:space="preserve">R-02</t>
  </si>
  <si>
    <t xml:space="preserve">윙맨 수급기 책임사항</t>
  </si>
  <si>
    <t xml:space="preserve">Wingman Receiver Responsibilities</t>
  </si>
  <si>
    <r>
      <rPr>
        <sz val="10"/>
        <rFont val="Noto Sans CJK SC"/>
        <family val="2"/>
      </rPr>
      <t xml:space="preserve">편대장을 따라 탱커 랑데부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급유 편대에 진입할 때</t>
    </r>
  </si>
  <si>
    <r>
      <rPr>
        <sz val="10"/>
        <rFont val="Noto Sans CJK SC"/>
        <family val="2"/>
      </rPr>
      <t xml:space="preserve">편대장 육안 유지 → </t>
    </r>
    <r>
      <rPr>
        <sz val="10"/>
        <rFont val="Malgun Gothic"/>
        <family val="0"/>
        <charset val="1"/>
      </rPr>
      <t xml:space="preserve">HSD Zoom/PPLI</t>
    </r>
    <r>
      <rPr>
        <sz val="10"/>
        <rFont val="Noto Sans CJK SC"/>
        <family val="2"/>
      </rPr>
      <t xml:space="preserve">로 전자 접촉 → 관측 위치 유지 → 탱커 선회 예측 → 불안전 시 즉시 통보</t>
    </r>
  </si>
  <si>
    <t xml:space="preserve">R-04</t>
  </si>
  <si>
    <t xml:space="preserve">통신 — 음성통신 및 필수 호출</t>
  </si>
  <si>
    <t xml:space="preserve">Communications - Oral Communications and Mandatory Calls</t>
  </si>
  <si>
    <r>
      <rPr>
        <sz val="10"/>
        <rFont val="Malgun Gothic"/>
        <family val="0"/>
        <charset val="1"/>
      </rPr>
      <t xml:space="preserve">ARCT 15</t>
    </r>
    <r>
      <rPr>
        <sz val="10"/>
        <rFont val="Noto Sans CJK SC"/>
        <family val="2"/>
      </rPr>
      <t xml:space="preserve">분 전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랑데부 고도 도달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프리컨택 위치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붐 후하방 약 </t>
    </r>
    <r>
      <rPr>
        <sz val="10"/>
        <rFont val="Malgun Gothic"/>
        <family val="0"/>
        <charset val="1"/>
      </rPr>
      <t xml:space="preserve">20ft) </t>
    </r>
    <r>
      <rPr>
        <sz val="10"/>
        <rFont val="Noto Sans CJK SC"/>
        <family val="2"/>
      </rPr>
      <t xml:space="preserve">도달 시</t>
    </r>
  </si>
  <si>
    <r>
      <rPr>
        <sz val="10"/>
        <rFont val="Malgun Gothic"/>
        <family val="0"/>
        <charset val="1"/>
      </rPr>
      <t xml:space="preserve">COM1 </t>
    </r>
    <r>
      <rPr>
        <sz val="10"/>
        <rFont val="Noto Sans CJK SC"/>
        <family val="2"/>
      </rPr>
      <t xml:space="preserve">탱커 주파수 → 송신 </t>
    </r>
    <r>
      <rPr>
        <sz val="10"/>
        <rFont val="Malgun Gothic"/>
        <family val="0"/>
        <charset val="1"/>
      </rPr>
      <t xml:space="preserve">AFT(UHF) → F-</t>
    </r>
    <r>
      <rPr>
        <sz val="10"/>
        <rFont val="Noto Sans CJK SC"/>
        <family val="2"/>
      </rPr>
      <t xml:space="preserve">메뉴 </t>
    </r>
    <r>
      <rPr>
        <sz val="10"/>
        <rFont val="Malgun Gothic"/>
        <family val="0"/>
        <charset val="1"/>
      </rPr>
      <t xml:space="preserve">Intent to refuel(15</t>
    </r>
    <r>
      <rPr>
        <sz val="10"/>
        <rFont val="Noto Sans CJK SC"/>
        <family val="2"/>
      </rPr>
      <t xml:space="preserve">분 전 호출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고도 도달 → 프리컨택 위치에서 </t>
    </r>
    <r>
      <rPr>
        <sz val="10"/>
        <rFont val="Malgun Gothic"/>
        <family val="0"/>
        <charset val="1"/>
      </rPr>
      <t xml:space="preserve">Pre-contact → Cleared </t>
    </r>
    <r>
      <rPr>
        <sz val="10"/>
        <rFont val="Noto Sans CJK SC"/>
        <family val="2"/>
      </rPr>
      <t xml:space="preserve">응답</t>
    </r>
  </si>
  <si>
    <t xml:space="preserve">8-2</t>
  </si>
  <si>
    <t xml:space="preserve">R-05</t>
  </si>
  <si>
    <r>
      <rPr>
        <sz val="10"/>
        <rFont val="Noto Sans CJK SC"/>
        <family val="2"/>
      </rPr>
      <t xml:space="preserve">통신 — 시각신호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무선침묵 급유</t>
    </r>
    <r>
      <rPr>
        <sz val="10"/>
        <rFont val="Malgun Gothic"/>
        <family val="0"/>
        <charset val="1"/>
      </rPr>
      <t xml:space="preserve">)</t>
    </r>
  </si>
  <si>
    <t xml:space="preserve">Communications - Visual Signals</t>
  </si>
  <si>
    <r>
      <rPr>
        <sz val="10"/>
        <rFont val="Malgun Gothic"/>
        <family val="0"/>
        <charset val="1"/>
      </rPr>
      <t xml:space="preserve">EMCON/</t>
    </r>
    <r>
      <rPr>
        <sz val="10"/>
        <rFont val="Noto Sans CJK SC"/>
        <family val="2"/>
      </rPr>
      <t xml:space="preserve">무선침묵 급유 지시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접촉 중 </t>
    </r>
    <r>
      <rPr>
        <sz val="10"/>
        <rFont val="Malgun Gothic"/>
        <family val="0"/>
        <charset val="1"/>
      </rPr>
      <t xml:space="preserve">PDI(</t>
    </r>
    <r>
      <rPr>
        <sz val="10"/>
        <rFont val="Noto Sans CJK SC"/>
        <family val="2"/>
      </rPr>
      <t xml:space="preserve">유도등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지시 확인 시</t>
    </r>
  </si>
  <si>
    <r>
      <rPr>
        <sz val="10"/>
        <rFont val="Noto Sans CJK SC"/>
        <family val="2"/>
      </rPr>
      <t xml:space="preserve">브리핑 확정 → </t>
    </r>
    <r>
      <rPr>
        <sz val="10"/>
        <rFont val="Malgun Gothic"/>
        <family val="0"/>
        <charset val="1"/>
      </rPr>
      <t xml:space="preserve">Yellow Stripe </t>
    </r>
    <r>
      <rPr>
        <sz val="10"/>
        <rFont val="Noto Sans CJK SC"/>
        <family val="2"/>
      </rPr>
      <t xml:space="preserve">정렬 → </t>
    </r>
    <r>
      <rPr>
        <sz val="10"/>
        <rFont val="Malgun Gothic"/>
        <family val="0"/>
        <charset val="1"/>
      </rPr>
      <t xml:space="preserve">PDI </t>
    </r>
    <r>
      <rPr>
        <sz val="10"/>
        <rFont val="Noto Sans CJK SC"/>
        <family val="2"/>
      </rPr>
      <t xml:space="preserve">지시형 해석</t>
    </r>
    <r>
      <rPr>
        <sz val="10"/>
        <rFont val="Malgun Gothic"/>
        <family val="0"/>
        <charset val="1"/>
      </rPr>
      <t xml:space="preserve">(steady=</t>
    </r>
    <r>
      <rPr>
        <sz val="10"/>
        <rFont val="Noto Sans CJK SC"/>
        <family val="2"/>
      </rPr>
      <t xml:space="preserve">큰 수정</t>
    </r>
    <r>
      <rPr>
        <sz val="10"/>
        <rFont val="Malgun Gothic"/>
        <family val="0"/>
        <charset val="1"/>
      </rPr>
      <t xml:space="preserve">, flash=</t>
    </r>
    <r>
      <rPr>
        <sz val="10"/>
        <rFont val="Noto Sans CJK SC"/>
        <family val="2"/>
      </rPr>
      <t xml:space="preserve">작은 수정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브레이크어웨이 시 </t>
    </r>
    <r>
      <rPr>
        <sz val="10"/>
        <rFont val="Malgun Gothic"/>
        <family val="0"/>
        <charset val="1"/>
      </rPr>
      <t xml:space="preserve">A/R DISC, IDLE, </t>
    </r>
    <r>
      <rPr>
        <sz val="10"/>
        <rFont val="Noto Sans CJK SC"/>
        <family val="2"/>
      </rPr>
      <t xml:space="preserve">후하방 이탈</t>
    </r>
  </si>
  <si>
    <t xml:space="preserve">8-6</t>
  </si>
  <si>
    <t xml:space="preserve">R-06</t>
  </si>
  <si>
    <r>
      <rPr>
        <sz val="10"/>
        <rFont val="Noto Sans CJK SC"/>
        <family val="2"/>
      </rPr>
      <t xml:space="preserve">무장 탑재</t>
    </r>
    <r>
      <rPr>
        <sz val="10"/>
        <rFont val="Malgun Gothic"/>
        <family val="0"/>
        <charset val="1"/>
      </rPr>
      <t xml:space="preserve">(Hot Armament) </t>
    </r>
    <r>
      <rPr>
        <sz val="10"/>
        <rFont val="Noto Sans CJK SC"/>
        <family val="2"/>
      </rPr>
      <t xml:space="preserve">급유절차</t>
    </r>
  </si>
  <si>
    <t xml:space="preserve">Hot Armament Procedures</t>
  </si>
  <si>
    <r>
      <rPr>
        <sz val="10"/>
        <rFont val="Noto Sans CJK SC"/>
        <family val="2"/>
      </rPr>
      <t xml:space="preserve">전방발사 무장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미사일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기관포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탑재 상태로 탱커 랑데부 전</t>
    </r>
    <r>
      <rPr>
        <sz val="10"/>
        <rFont val="Malgun Gothic"/>
        <family val="0"/>
        <charset val="1"/>
      </rPr>
      <t xml:space="preserve">(ARIP </t>
    </r>
    <r>
      <rPr>
        <sz val="10"/>
        <rFont val="Noto Sans CJK SC"/>
        <family val="2"/>
      </rPr>
      <t xml:space="preserve">이전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</si>
  <si>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랑데부 전 </t>
    </r>
    <r>
      <rPr>
        <sz val="10"/>
        <rFont val="Malgun Gothic"/>
        <family val="0"/>
        <charset val="1"/>
      </rPr>
      <t xml:space="preserve">MASTER ARM OFF → LASER ARM OFF → SMS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(RF SILENT) → </t>
    </r>
    <r>
      <rPr>
        <sz val="10"/>
        <rFont val="Noto Sans CJK SC"/>
        <family val="2"/>
      </rPr>
      <t xml:space="preserve">탱커 후방 스위치 조작 금지 → 이탈 후 재무장</t>
    </r>
  </si>
  <si>
    <t xml:space="preserve">R-07</t>
  </si>
  <si>
    <t xml:space="preserve">외부등화 조작</t>
  </si>
  <si>
    <t xml:space="preserve">Lighting</t>
  </si>
  <si>
    <r>
      <rPr>
        <sz val="10"/>
        <rFont val="Noto Sans CJK SC"/>
        <family val="2"/>
      </rPr>
      <t xml:space="preserve">야간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저시정 급유 접근 시 또는 붐 오퍼레이터의 등화 조정 요청 시</t>
    </r>
  </si>
  <si>
    <r>
      <rPr>
        <sz val="10"/>
        <rFont val="Noto Sans CJK SC"/>
        <family val="2"/>
      </rPr>
      <t xml:space="preserve">접근 전 </t>
    </r>
    <r>
      <rPr>
        <sz val="10"/>
        <rFont val="Malgun Gothic"/>
        <family val="0"/>
        <charset val="1"/>
      </rPr>
      <t xml:space="preserve">Anti-Coll OFF, Position STEADY/DIM, Formation </t>
    </r>
    <r>
      <rPr>
        <sz val="10"/>
        <rFont val="Noto Sans CJK SC"/>
        <family val="2"/>
      </rPr>
      <t xml:space="preserve">적정 → </t>
    </r>
    <r>
      <rPr>
        <sz val="10"/>
        <rFont val="Malgun Gothic"/>
        <family val="0"/>
        <charset val="1"/>
      </rPr>
      <t xml:space="preserve">A/R Light </t>
    </r>
    <r>
      <rPr>
        <sz val="10"/>
        <rFont val="Noto Sans CJK SC"/>
        <family val="2"/>
      </rPr>
      <t xml:space="preserve">노브 조정 → 야간은 </t>
    </r>
    <r>
      <rPr>
        <sz val="10"/>
        <rFont val="Malgun Gothic"/>
        <family val="0"/>
        <charset val="1"/>
      </rPr>
      <t xml:space="preserve">TACAN/FCR + </t>
    </r>
    <r>
      <rPr>
        <sz val="10"/>
        <rFont val="Noto Sans CJK SC"/>
        <family val="2"/>
      </rPr>
      <t xml:space="preserve">탱커 등화로 식별 → 외측 수급기만 </t>
    </r>
    <r>
      <rPr>
        <sz val="10"/>
        <rFont val="Malgun Gothic"/>
        <family val="0"/>
        <charset val="1"/>
      </rPr>
      <t xml:space="preserve">Anti-Coll ON</t>
    </r>
  </si>
  <si>
    <t xml:space="preserve">R-08</t>
  </si>
  <si>
    <r>
      <rPr>
        <sz val="10"/>
        <rFont val="Noto Sans CJK SC"/>
        <family val="2"/>
      </rPr>
      <t xml:space="preserve">항법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위치 보고 및 급유 후 보고</t>
    </r>
  </si>
  <si>
    <t xml:space="preserve">Navigation and Position Reporting / Post Air Refueling Report</t>
  </si>
  <si>
    <r>
      <rPr>
        <sz val="10"/>
        <rFont val="Noto Sans CJK SC"/>
        <family val="2"/>
      </rPr>
      <t xml:space="preserve">랑데부 완료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탱커 편대 진입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급유 완료</t>
    </r>
    <r>
      <rPr>
        <sz val="10"/>
        <rFont val="Malgun Gothic"/>
        <family val="0"/>
        <charset val="1"/>
      </rPr>
      <t xml:space="preserve">(DISC) </t>
    </r>
    <r>
      <rPr>
        <sz val="10"/>
        <rFont val="Noto Sans CJK SC"/>
        <family val="2"/>
      </rPr>
      <t xml:space="preserve">후 이탈 시</t>
    </r>
  </si>
  <si>
    <r>
      <rPr>
        <sz val="10"/>
        <rFont val="Noto Sans CJK SC"/>
        <family val="2"/>
      </rPr>
      <t xml:space="preserve">탱커 편대 중 </t>
    </r>
    <r>
      <rPr>
        <sz val="10"/>
        <rFont val="Malgun Gothic"/>
        <family val="0"/>
        <charset val="1"/>
      </rPr>
      <t xml:space="preserve">HSD</t>
    </r>
    <r>
      <rPr>
        <sz val="10"/>
        <rFont val="Noto Sans CJK SC"/>
        <family val="2"/>
      </rPr>
      <t xml:space="preserve">로 위치 병행 감시 → </t>
    </r>
    <r>
      <rPr>
        <sz val="10"/>
        <rFont val="Malgun Gothic"/>
        <family val="0"/>
        <charset val="1"/>
      </rPr>
      <t xml:space="preserve">DISC/S</t>
    </r>
    <r>
      <rPr>
        <sz val="10"/>
        <rFont val="Noto Sans CJK SC"/>
        <family val="2"/>
      </rPr>
      <t xml:space="preserve">키 해제 → 후방 이탈</t>
    </r>
    <r>
      <rPr>
        <sz val="10"/>
        <rFont val="Malgun Gothic"/>
        <family val="0"/>
        <charset val="1"/>
      </rPr>
      <t xml:space="preserve">, AIR REFUEL CLOSE(RDY </t>
    </r>
    <r>
      <rPr>
        <sz val="10"/>
        <rFont val="Noto Sans CJK SC"/>
        <family val="2"/>
      </rPr>
      <t xml:space="preserve">소등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블록 하단 </t>
    </r>
    <r>
      <rPr>
        <sz val="10"/>
        <rFont val="Malgun Gothic"/>
        <family val="0"/>
        <charset val="1"/>
      </rPr>
      <t xml:space="preserve">-1000ft → </t>
    </r>
    <r>
      <rPr>
        <sz val="10"/>
        <rFont val="Noto Sans CJK SC"/>
        <family val="2"/>
      </rPr>
      <t xml:space="preserve">앞지를 땐 </t>
    </r>
    <r>
      <rPr>
        <sz val="10"/>
        <rFont val="Malgun Gothic"/>
        <family val="0"/>
        <charset val="1"/>
      </rPr>
      <t xml:space="preserve">1NM </t>
    </r>
    <r>
      <rPr>
        <sz val="10"/>
        <rFont val="Noto Sans CJK SC"/>
        <family val="2"/>
      </rPr>
      <t xml:space="preserve">측방 오프셋 후 상승 → </t>
    </r>
    <r>
      <rPr>
        <sz val="10"/>
        <rFont val="Malgun Gothic"/>
        <family val="0"/>
        <charset val="1"/>
      </rPr>
      <t xml:space="preserve">ALT HOLD+STRG SEL</t>
    </r>
  </si>
  <si>
    <t xml:space="preserve">8-11</t>
  </si>
  <si>
    <t xml:space="preserve">R-09</t>
  </si>
  <si>
    <r>
      <rPr>
        <sz val="10"/>
        <rFont val="Noto Sans CJK SC"/>
        <family val="2"/>
      </rPr>
      <t xml:space="preserve">붐 엔벨로프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포섭범위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제한</t>
    </r>
  </si>
  <si>
    <t xml:space="preserve">Boom Envelope Limits</t>
  </si>
  <si>
    <r>
      <rPr>
        <sz val="10"/>
        <rFont val="Noto Sans CJK SC"/>
        <family val="2"/>
      </rPr>
      <t xml:space="preserve">붐 접촉</t>
    </r>
    <r>
      <rPr>
        <sz val="10"/>
        <rFont val="Malgun Gothic"/>
        <family val="0"/>
        <charset val="1"/>
      </rPr>
      <t xml:space="preserve">(AR/NWS </t>
    </r>
    <r>
      <rPr>
        <sz val="10"/>
        <rFont val="Noto Sans CJK SC"/>
        <family val="2"/>
      </rPr>
      <t xml:space="preserve">등 점등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후 급유 중 위치 유지 시</t>
    </r>
  </si>
  <si>
    <r>
      <rPr>
        <sz val="10"/>
        <rFont val="Noto Sans CJK SC"/>
        <family val="2"/>
      </rPr>
      <t xml:space="preserve">트림 완료 → 탱커 기준 편대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러더 금지 → 붐 캐노피 상방 </t>
    </r>
    <r>
      <rPr>
        <sz val="10"/>
        <rFont val="Malgun Gothic"/>
        <family val="0"/>
        <charset val="1"/>
      </rPr>
      <t xml:space="preserve">2~3ft, Yellow Stripe → </t>
    </r>
    <r>
      <rPr>
        <sz val="10"/>
        <rFont val="Noto Sans CJK SC"/>
        <family val="2"/>
      </rPr>
      <t xml:space="preserve">접촉 후 </t>
    </r>
    <r>
      <rPr>
        <sz val="10"/>
        <rFont val="Malgun Gothic"/>
        <family val="0"/>
        <charset val="1"/>
      </rPr>
      <t xml:space="preserve">PDI </t>
    </r>
    <r>
      <rPr>
        <sz val="10"/>
        <rFont val="Noto Sans CJK SC"/>
        <family val="2"/>
      </rPr>
      <t xml:space="preserve">따라 한 축씩 수정 → 한계 급접근 금지 → </t>
    </r>
    <r>
      <rPr>
        <sz val="10"/>
        <rFont val="Malgun Gothic"/>
        <family val="0"/>
        <charset val="1"/>
      </rPr>
      <t xml:space="preserve">DISC </t>
    </r>
    <r>
      <rPr>
        <sz val="10"/>
        <rFont val="Noto Sans CJK SC"/>
        <family val="2"/>
      </rPr>
      <t xml:space="preserve">시 후퇴 후 재접촉</t>
    </r>
  </si>
  <si>
    <t xml:space="preserve">8-12</t>
  </si>
  <si>
    <t xml:space="preserve">R-10</t>
  </si>
  <si>
    <r>
      <rPr>
        <sz val="10"/>
        <rFont val="Noto Sans CJK SC"/>
        <family val="2"/>
      </rPr>
      <t xml:space="preserve">편대장</t>
    </r>
    <r>
      <rPr>
        <sz val="10"/>
        <rFont val="Malgun Gothic"/>
        <family val="0"/>
        <charset val="1"/>
      </rPr>
      <t xml:space="preserve">(Cell Leader) </t>
    </r>
    <r>
      <rPr>
        <sz val="10"/>
        <rFont val="Noto Sans CJK SC"/>
        <family val="2"/>
      </rPr>
      <t xml:space="preserve">책임</t>
    </r>
  </si>
  <si>
    <t xml:space="preserve">Cell Leader Responsibility</t>
  </si>
  <si>
    <r>
      <rPr>
        <sz val="10"/>
        <rFont val="Noto Sans CJK SC"/>
        <family val="2"/>
      </rPr>
      <t xml:space="preserve">급유 편대 브리핑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편대장 이탈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비상으로 리드 이양 필요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</si>
  <si>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편대장 책임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리드 이양 — 멀티플레이 음성 조율만 가능</t>
    </r>
  </si>
  <si>
    <t xml:space="preserve">R-16</t>
  </si>
  <si>
    <r>
      <rPr>
        <sz val="10"/>
        <rFont val="Noto Sans CJK SC"/>
        <family val="2"/>
      </rPr>
      <t xml:space="preserve">전력연장</t>
    </r>
    <r>
      <rPr>
        <sz val="10"/>
        <rFont val="Malgun Gothic"/>
        <family val="0"/>
        <charset val="1"/>
      </rPr>
      <t xml:space="preserve">(Force Extension) </t>
    </r>
    <r>
      <rPr>
        <sz val="10"/>
        <rFont val="Noto Sans CJK SC"/>
        <family val="2"/>
      </rPr>
      <t xml:space="preserve">절차 — </t>
    </r>
    <r>
      <rPr>
        <sz val="10"/>
        <rFont val="Malgun Gothic"/>
        <family val="0"/>
        <charset val="1"/>
      </rPr>
      <t xml:space="preserve">VMC </t>
    </r>
    <r>
      <rPr>
        <sz val="10"/>
        <rFont val="Noto Sans CJK SC"/>
        <family val="2"/>
      </rPr>
      <t xml:space="preserve">절차</t>
    </r>
  </si>
  <si>
    <t xml:space="preserve">Force Extension Procedures - VMC Procedures</t>
  </si>
  <si>
    <r>
      <rPr>
        <sz val="10"/>
        <rFont val="Noto Sans CJK SC"/>
        <family val="2"/>
      </rPr>
      <t xml:space="preserve">전개작전에서 호위탱커가 전력연장탱커로부터 급유받을 때</t>
    </r>
    <r>
      <rPr>
        <sz val="10"/>
        <rFont val="Malgun Gothic"/>
        <family val="0"/>
        <charset val="1"/>
      </rPr>
      <t xml:space="preserve">(VMC, </t>
    </r>
    <r>
      <rPr>
        <sz val="10"/>
        <rFont val="Noto Sans CJK SC"/>
        <family val="2"/>
      </rPr>
      <t xml:space="preserve">시정 </t>
    </r>
    <r>
      <rPr>
        <sz val="10"/>
        <rFont val="Malgun Gothic"/>
        <family val="0"/>
        <charset val="1"/>
      </rPr>
      <t xml:space="preserve">2NM </t>
    </r>
    <r>
      <rPr>
        <sz val="10"/>
        <rFont val="Noto Sans CJK SC"/>
        <family val="2"/>
      </rPr>
      <t xml:space="preserve">이상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</si>
  <si>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Force Extension VMC </t>
    </r>
    <r>
      <rPr>
        <sz val="10"/>
        <rFont val="Noto Sans CJK SC"/>
        <family val="2"/>
      </rPr>
      <t xml:space="preserve">인계 절차</t>
    </r>
  </si>
  <si>
    <t xml:space="preserve">8-19</t>
  </si>
  <si>
    <t xml:space="preserve">R-17</t>
  </si>
  <si>
    <r>
      <rPr>
        <sz val="10"/>
        <rFont val="Noto Sans CJK SC"/>
        <family val="2"/>
      </rPr>
      <t xml:space="preserve">전력연장 절차 — </t>
    </r>
    <r>
      <rPr>
        <sz val="10"/>
        <rFont val="Malgun Gothic"/>
        <family val="0"/>
        <charset val="1"/>
      </rPr>
      <t xml:space="preserve">IMC/</t>
    </r>
    <r>
      <rPr>
        <sz val="10"/>
        <rFont val="Noto Sans CJK SC"/>
        <family val="2"/>
      </rPr>
      <t xml:space="preserve">야간 절차</t>
    </r>
  </si>
  <si>
    <t xml:space="preserve">Force Extension Procedures - IMC or Night Procedures</t>
  </si>
  <si>
    <r>
      <rPr>
        <sz val="10"/>
        <rFont val="Malgun Gothic"/>
        <family val="0"/>
        <charset val="1"/>
      </rPr>
      <t xml:space="preserve">IMC/</t>
    </r>
    <r>
      <rPr>
        <sz val="10"/>
        <rFont val="Noto Sans CJK SC"/>
        <family val="2"/>
      </rPr>
      <t xml:space="preserve">야간 전력연장 급유 시 전투기 합류 허가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</si>
  <si>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Force Extension IMC/</t>
    </r>
    <r>
      <rPr>
        <sz val="10"/>
        <rFont val="Noto Sans CJK SC"/>
        <family val="2"/>
      </rPr>
      <t xml:space="preserve">야간 — 레이더 트레일 </t>
    </r>
    <r>
      <rPr>
        <sz val="10"/>
        <rFont val="Malgun Gothic"/>
        <family val="0"/>
        <charset val="1"/>
      </rPr>
      <t xml:space="preserve">1.5~2NM/-2000ft </t>
    </r>
    <r>
      <rPr>
        <sz val="10"/>
        <rFont val="Noto Sans CJK SC"/>
        <family val="2"/>
      </rPr>
      <t xml:space="preserve">기법만 응용</t>
    </r>
  </si>
  <si>
    <t xml:space="preserve">R-18</t>
  </si>
  <si>
    <t xml:space="preserve">전력연장 절차 — 급유 후 절차</t>
  </si>
  <si>
    <t xml:space="preserve">Force Extension Procedures - Post Refueling Procedures</t>
  </si>
  <si>
    <r>
      <rPr>
        <sz val="10"/>
        <rFont val="Noto Sans CJK SC"/>
        <family val="2"/>
      </rPr>
      <t xml:space="preserve">전력연장 급유 완료 후 재합류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전력연장탱커 </t>
    </r>
    <r>
      <rPr>
        <sz val="10"/>
        <rFont val="Malgun Gothic"/>
        <family val="0"/>
        <charset val="1"/>
      </rPr>
      <t xml:space="preserve">BINGO </t>
    </r>
    <r>
      <rPr>
        <sz val="10"/>
        <rFont val="Noto Sans CJK SC"/>
        <family val="2"/>
      </rPr>
      <t xml:space="preserve">도달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</si>
  <si>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Force Extension </t>
    </r>
    <r>
      <rPr>
        <sz val="10"/>
        <rFont val="Noto Sans CJK SC"/>
        <family val="2"/>
      </rPr>
      <t xml:space="preserve">급유 후 절차 — </t>
    </r>
    <r>
      <rPr>
        <sz val="10"/>
        <rFont val="Malgun Gothic"/>
        <family val="0"/>
        <charset val="1"/>
      </rPr>
      <t xml:space="preserve">FCR/PPLI </t>
    </r>
    <r>
      <rPr>
        <sz val="10"/>
        <rFont val="Noto Sans CJK SC"/>
        <family val="2"/>
      </rPr>
      <t xml:space="preserve">재합류</t>
    </r>
    <r>
      <rPr>
        <sz val="10"/>
        <rFont val="Malgun Gothic"/>
        <family val="0"/>
        <charset val="1"/>
      </rPr>
      <t xml:space="preserve">, BINGO </t>
    </r>
    <r>
      <rPr>
        <sz val="10"/>
        <rFont val="Noto Sans CJK SC"/>
        <family val="2"/>
      </rPr>
      <t xml:space="preserve">관리만 응용</t>
    </r>
  </si>
  <si>
    <t xml:space="preserve">R-19</t>
  </si>
  <si>
    <r>
      <rPr>
        <sz val="10"/>
        <rFont val="Noto Sans CJK SC"/>
        <family val="2"/>
      </rPr>
      <t xml:space="preserve">로스트 윙맨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편대 이탈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</si>
  <si>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Lost Wingman Procedures</t>
  </si>
  <si>
    <r>
      <rPr>
        <sz val="10"/>
        <rFont val="Noto Sans CJK SC"/>
        <family val="2"/>
      </rPr>
      <t xml:space="preserve">탱커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편대장에 대한 시각접촉 상실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구름 진입 등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</t>
    </r>
  </si>
  <si>
    <r>
      <rPr>
        <sz val="10"/>
        <rFont val="Noto Sans CJK SC"/>
        <family val="2"/>
      </rPr>
      <t xml:space="preserve">시계 상실 → 계기비행 전환 → 위치별 이탈</t>
    </r>
    <r>
      <rPr>
        <sz val="10"/>
        <rFont val="Malgun Gothic"/>
        <family val="0"/>
        <charset val="1"/>
      </rPr>
      <t xml:space="preserve">(15°/15s, 30°/30s, 45°/30s, </t>
    </r>
    <r>
      <rPr>
        <sz val="10"/>
        <rFont val="Noto Sans CJK SC"/>
        <family val="2"/>
      </rPr>
      <t xml:space="preserve">프리컨택</t>
    </r>
    <r>
      <rPr>
        <sz val="10"/>
        <rFont val="Malgun Gothic"/>
        <family val="0"/>
        <charset val="1"/>
      </rPr>
      <t xml:space="preserve">: A/R DISC, -10kt, -500ft, 30s) → </t>
    </r>
    <r>
      <rPr>
        <sz val="10"/>
        <rFont val="Noto Sans CJK SC"/>
        <family val="2"/>
      </rPr>
      <t xml:space="preserve">침로 복귀 → 통보 → 허가 후 </t>
    </r>
    <r>
      <rPr>
        <sz val="10"/>
        <rFont val="Malgun Gothic"/>
        <family val="0"/>
        <charset val="1"/>
      </rPr>
      <t xml:space="preserve">FCR/TACAN </t>
    </r>
    <r>
      <rPr>
        <sz val="10"/>
        <rFont val="Noto Sans CJK SC"/>
        <family val="2"/>
      </rPr>
      <t xml:space="preserve">재합류</t>
    </r>
  </si>
  <si>
    <t xml:space="preserve">R-20</t>
  </si>
  <si>
    <r>
      <rPr>
        <sz val="10"/>
        <rFont val="Noto Sans CJK SC"/>
        <family val="2"/>
      </rPr>
      <t xml:space="preserve">임무 중단</t>
    </r>
    <r>
      <rPr>
        <sz val="10"/>
        <rFont val="Malgun Gothic"/>
        <family val="0"/>
        <charset val="1"/>
      </rPr>
      <t xml:space="preserve">(Abort) </t>
    </r>
    <r>
      <rPr>
        <sz val="10"/>
        <rFont val="Noto Sans CJK SC"/>
        <family val="2"/>
      </rPr>
      <t xml:space="preserve">절차</t>
    </r>
  </si>
  <si>
    <t xml:space="preserve">Abort Procedures</t>
  </si>
  <si>
    <r>
      <rPr>
        <sz val="10"/>
        <rFont val="Noto Sans CJK SC"/>
        <family val="2"/>
      </rPr>
      <t xml:space="preserve">수급기 결함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연료 부족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기상으로 급유 임무 지속 불가 판단 시</t>
    </r>
  </si>
  <si>
    <r>
      <rPr>
        <sz val="10"/>
        <rFont val="Noto Sans CJK SC"/>
        <family val="2"/>
      </rPr>
      <t xml:space="preserve">중단 상황 보고 → 편대장 결정 → </t>
    </r>
    <r>
      <rPr>
        <sz val="10"/>
        <rFont val="Malgun Gothic"/>
        <family val="0"/>
        <charset val="1"/>
      </rPr>
      <t xml:space="preserve">A/R DISC, </t>
    </r>
    <r>
      <rPr>
        <sz val="10"/>
        <rFont val="Noto Sans CJK SC"/>
        <family val="2"/>
      </rPr>
      <t xml:space="preserve">도어 </t>
    </r>
    <r>
      <rPr>
        <sz val="10"/>
        <rFont val="Malgun Gothic"/>
        <family val="0"/>
        <charset val="1"/>
      </rPr>
      <t xml:space="preserve">CLOSE → </t>
    </r>
    <r>
      <rPr>
        <sz val="10"/>
        <rFont val="Noto Sans CJK SC"/>
        <family val="2"/>
      </rPr>
      <t xml:space="preserve">이탈 → </t>
    </r>
    <r>
      <rPr>
        <sz val="10"/>
        <rFont val="Malgun Gothic"/>
        <family val="0"/>
        <charset val="1"/>
      </rPr>
      <t xml:space="preserve">CRUS HOME RTB</t>
    </r>
  </si>
  <si>
    <t xml:space="preserve">R-21</t>
  </si>
  <si>
    <t xml:space="preserve">고도계 설정</t>
  </si>
  <si>
    <t xml:space="preserve">Altimeter Settings</t>
  </si>
  <si>
    <r>
      <rPr>
        <sz val="10"/>
        <rFont val="Noto Sans CJK SC"/>
        <family val="2"/>
      </rPr>
      <t xml:space="preserve">천이고도</t>
    </r>
    <r>
      <rPr>
        <sz val="10"/>
        <rFont val="Malgun Gothic"/>
        <family val="0"/>
        <charset val="1"/>
      </rPr>
      <t xml:space="preserve">(TA) </t>
    </r>
    <r>
      <rPr>
        <sz val="10"/>
        <rFont val="Noto Sans CJK SC"/>
        <family val="2"/>
      </rPr>
      <t xml:space="preserve">통과 상승 시 또는 해상 </t>
    </r>
    <r>
      <rPr>
        <sz val="10"/>
        <rFont val="Malgun Gothic"/>
        <family val="0"/>
        <charset val="1"/>
      </rPr>
      <t xml:space="preserve">ICAO </t>
    </r>
    <r>
      <rPr>
        <sz val="10"/>
        <rFont val="Noto Sans CJK SC"/>
        <family val="2"/>
      </rPr>
      <t xml:space="preserve">절차 운용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급유 브리핑 고도계 설정 지시 시</t>
    </r>
  </si>
  <si>
    <r>
      <rPr>
        <sz val="10"/>
        <rFont val="Noto Sans CJK SC"/>
        <family val="2"/>
      </rPr>
      <t xml:space="preserve">천이고도 이상 → </t>
    </r>
    <r>
      <rPr>
        <sz val="10"/>
        <rFont val="Malgun Gothic"/>
        <family val="0"/>
        <charset val="1"/>
      </rPr>
      <t xml:space="preserve">BARO </t>
    </r>
    <r>
      <rPr>
        <sz val="10"/>
        <rFont val="Noto Sans CJK SC"/>
        <family val="2"/>
      </rPr>
      <t xml:space="preserve">노브 </t>
    </r>
    <r>
      <rPr>
        <sz val="10"/>
        <rFont val="Malgun Gothic"/>
        <family val="0"/>
        <charset val="1"/>
      </rPr>
      <t xml:space="preserve">29.92 → HUD BARO </t>
    </r>
    <r>
      <rPr>
        <sz val="10"/>
        <rFont val="Noto Sans CJK SC"/>
        <family val="2"/>
      </rPr>
      <t xml:space="preserve">확인 → 저고도 트랙은 브리핑 </t>
    </r>
    <r>
      <rPr>
        <sz val="10"/>
        <rFont val="Malgun Gothic"/>
        <family val="0"/>
        <charset val="1"/>
      </rPr>
      <t xml:space="preserve">QNH → </t>
    </r>
    <r>
      <rPr>
        <sz val="10"/>
        <rFont val="Noto Sans CJK SC"/>
        <family val="2"/>
      </rPr>
      <t xml:space="preserve">편대 동일 설정 확인</t>
    </r>
  </si>
  <si>
    <t xml:space="preserve">R-23</t>
  </si>
  <si>
    <t xml:space="preserve">랑데부 트랙 유지 및 탱커 랑데부 장비</t>
  </si>
  <si>
    <t xml:space="preserve">Track / Tanker Rendezvous Equipment</t>
  </si>
  <si>
    <r>
      <rPr>
        <sz val="10"/>
        <rFont val="Malgun Gothic"/>
        <family val="0"/>
        <charset val="1"/>
      </rPr>
      <t xml:space="preserve">ARIP </t>
    </r>
    <r>
      <rPr>
        <sz val="10"/>
        <rFont val="Noto Sans CJK SC"/>
        <family val="2"/>
      </rPr>
      <t xml:space="preserve">통과 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트랙 이탈 필요 시</t>
    </r>
    <r>
      <rPr>
        <sz val="10"/>
        <rFont val="Malgun Gothic"/>
        <family val="0"/>
        <charset val="1"/>
      </rPr>
      <t xml:space="preserve">; ARCT </t>
    </r>
    <r>
      <rPr>
        <sz val="10"/>
        <rFont val="Noto Sans CJK SC"/>
        <family val="2"/>
      </rPr>
      <t xml:space="preserve">전 무선 미접촉 시</t>
    </r>
  </si>
  <si>
    <r>
      <rPr>
        <sz val="10"/>
        <rFont val="Malgun Gothic"/>
        <family val="0"/>
        <charset val="1"/>
      </rPr>
      <t xml:space="preserve">ARIP/ARCP STPT </t>
    </r>
    <r>
      <rPr>
        <sz val="10"/>
        <rFont val="Noto Sans CJK SC"/>
        <family val="2"/>
      </rPr>
      <t xml:space="preserve">트랙 유지</t>
    </r>
    <r>
      <rPr>
        <sz val="10"/>
        <rFont val="Malgun Gothic"/>
        <family val="0"/>
        <charset val="1"/>
      </rPr>
      <t xml:space="preserve">, CRUS TOS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ARCT → MIDS ON, T-ILS </t>
    </r>
    <r>
      <rPr>
        <sz val="10"/>
        <rFont val="Noto Sans CJK SC"/>
        <family val="2"/>
      </rPr>
      <t xml:space="preserve">탱커 </t>
    </r>
    <r>
      <rPr>
        <sz val="10"/>
        <rFont val="Malgun Gothic"/>
        <family val="0"/>
        <charset val="1"/>
      </rPr>
      <t xml:space="preserve">TACAN T/R, EHSI TCN → DME/Bearing </t>
    </r>
    <r>
      <rPr>
        <sz val="10"/>
        <rFont val="Noto Sans CJK SC"/>
        <family val="2"/>
      </rPr>
      <t xml:space="preserve">추적 → 이탈 시 조율 → 비콘 대신 </t>
    </r>
    <r>
      <rPr>
        <sz val="10"/>
        <rFont val="Malgun Gothic"/>
        <family val="0"/>
        <charset val="1"/>
      </rPr>
      <t xml:space="preserve">FCR </t>
    </r>
    <r>
      <rPr>
        <sz val="10"/>
        <rFont val="Noto Sans CJK SC"/>
        <family val="2"/>
      </rPr>
      <t xml:space="preserve">락</t>
    </r>
  </si>
  <si>
    <t xml:space="preserve">8-21</t>
  </si>
  <si>
    <t xml:space="preserve">R-24</t>
  </si>
  <si>
    <t xml:space="preserve">랑데부 중 수급기 편대대형</t>
  </si>
  <si>
    <t xml:space="preserve">Receiver Formation During Rendezvous</t>
  </si>
  <si>
    <r>
      <rPr>
        <sz val="10"/>
        <rFont val="Noto Sans CJK SC"/>
        <family val="2"/>
      </rPr>
      <t xml:space="preserve">주간 </t>
    </r>
    <r>
      <rPr>
        <sz val="10"/>
        <rFont val="Malgun Gothic"/>
        <family val="0"/>
        <charset val="1"/>
      </rPr>
      <t xml:space="preserve">VMC/IMC·</t>
    </r>
    <r>
      <rPr>
        <sz val="10"/>
        <rFont val="Noto Sans CJK SC"/>
        <family val="2"/>
      </rPr>
      <t xml:space="preserve">야간 조건에서 탱커 온코스 후 </t>
    </r>
    <r>
      <rPr>
        <sz val="10"/>
        <rFont val="Malgun Gothic"/>
        <family val="0"/>
        <charset val="1"/>
      </rPr>
      <t xml:space="preserve">ARIP </t>
    </r>
    <r>
      <rPr>
        <sz val="10"/>
        <rFont val="Noto Sans CJK SC"/>
        <family val="2"/>
      </rPr>
      <t xml:space="preserve">이탈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레이더 접촉 및 접근 시</t>
    </r>
  </si>
  <si>
    <r>
      <rPr>
        <sz val="10"/>
        <rFont val="Malgun Gothic"/>
        <family val="0"/>
        <charset val="1"/>
      </rPr>
      <t xml:space="preserve">VMC </t>
    </r>
    <r>
      <rPr>
        <sz val="10"/>
        <rFont val="Noto Sans CJK SC"/>
        <family val="2"/>
      </rPr>
      <t xml:space="preserve">우측 오프셋 트레일 </t>
    </r>
    <r>
      <rPr>
        <sz val="10"/>
        <rFont val="Malgun Gothic"/>
        <family val="0"/>
        <charset val="1"/>
      </rPr>
      <t xml:space="preserve">/ IMC 4</t>
    </r>
    <r>
      <rPr>
        <sz val="10"/>
        <rFont val="Noto Sans CJK SC"/>
        <family val="2"/>
      </rPr>
      <t xml:space="preserve">기 편대 → 마지막 탱커 후방 </t>
    </r>
    <r>
      <rPr>
        <sz val="10"/>
        <rFont val="Malgun Gothic"/>
        <family val="0"/>
        <charset val="1"/>
      </rPr>
      <t xml:space="preserve">3NM, FCR </t>
    </r>
    <r>
      <rPr>
        <sz val="10"/>
        <rFont val="Noto Sans CJK SC"/>
        <family val="2"/>
      </rPr>
      <t xml:space="preserve">락 → </t>
    </r>
    <r>
      <rPr>
        <sz val="10"/>
        <rFont val="Malgun Gothic"/>
        <family val="0"/>
        <charset val="1"/>
      </rPr>
      <t xml:space="preserve">-1000ft ALT HOLD → </t>
    </r>
    <r>
      <rPr>
        <sz val="10"/>
        <rFont val="Noto Sans CJK SC"/>
        <family val="2"/>
      </rPr>
      <t xml:space="preserve">좌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도 오프셋</t>
    </r>
    <r>
      <rPr>
        <sz val="10"/>
        <rFont val="Malgun Gothic"/>
        <family val="0"/>
        <charset val="1"/>
      </rPr>
      <t xml:space="preserve">, +50kt, 1500ft </t>
    </r>
    <r>
      <rPr>
        <sz val="10"/>
        <rFont val="Noto Sans CJK SC"/>
        <family val="2"/>
      </rPr>
      <t xml:space="preserve">미만 금지 → 락 상실 시 </t>
    </r>
    <r>
      <rPr>
        <sz val="10"/>
        <rFont val="Malgun Gothic"/>
        <family val="0"/>
        <charset val="1"/>
      </rPr>
      <t xml:space="preserve">1000ft </t>
    </r>
    <r>
      <rPr>
        <sz val="10"/>
        <rFont val="Noto Sans CJK SC"/>
        <family val="2"/>
      </rPr>
      <t xml:space="preserve">이격 → 시각접촉 후 조인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우측 에셜론</t>
    </r>
  </si>
  <si>
    <t xml:space="preserve">R-25</t>
  </si>
  <si>
    <t xml:space="preserve">조기 도착 시 대기</t>
  </si>
  <si>
    <t xml:space="preserve">Early Arrival</t>
  </si>
  <si>
    <r>
      <rPr>
        <sz val="10"/>
        <rFont val="Noto Sans CJK SC"/>
        <family val="2"/>
      </rPr>
      <t xml:space="preserve">수급기가 탱커보다 먼저 </t>
    </r>
    <r>
      <rPr>
        <sz val="10"/>
        <rFont val="Malgun Gothic"/>
        <family val="0"/>
        <charset val="1"/>
      </rPr>
      <t xml:space="preserve">ARIP/ARCP</t>
    </r>
    <r>
      <rPr>
        <sz val="10"/>
        <rFont val="Noto Sans CJK SC"/>
        <family val="2"/>
      </rPr>
      <t xml:space="preserve">에 도착하거나 급유 순서 대기 시</t>
    </r>
  </si>
  <si>
    <r>
      <rPr>
        <sz val="10"/>
        <rFont val="Noto Sans CJK SC"/>
        <family val="2"/>
      </rPr>
      <t xml:space="preserve">관측위치 측방 </t>
    </r>
    <r>
      <rPr>
        <sz val="10"/>
        <rFont val="Malgun Gothic"/>
        <family val="0"/>
        <charset val="1"/>
      </rPr>
      <t xml:space="preserve">600~800ft(VMC)/1~3NM </t>
    </r>
    <r>
      <rPr>
        <sz val="10"/>
        <rFont val="Noto Sans CJK SC"/>
        <family val="2"/>
      </rPr>
      <t xml:space="preserve">트레일</t>
    </r>
    <r>
      <rPr>
        <sz val="10"/>
        <rFont val="Malgun Gothic"/>
        <family val="0"/>
        <charset val="1"/>
      </rPr>
      <t xml:space="preserve">(IMC), -1000ft → </t>
    </r>
    <r>
      <rPr>
        <sz val="10"/>
        <rFont val="Noto Sans CJK SC"/>
        <family val="2"/>
      </rPr>
      <t xml:space="preserve">조기 도착 시 </t>
    </r>
    <r>
      <rPr>
        <sz val="10"/>
        <rFont val="Malgun Gothic"/>
        <family val="0"/>
        <charset val="1"/>
      </rPr>
      <t xml:space="preserve">1000ft </t>
    </r>
    <r>
      <rPr>
        <sz val="10"/>
        <rFont val="Noto Sans CJK SC"/>
        <family val="2"/>
      </rPr>
      <t xml:space="preserve">이격 궤도 → </t>
    </r>
    <r>
      <rPr>
        <sz val="10"/>
        <rFont val="Malgun Gothic"/>
        <family val="0"/>
        <charset val="1"/>
      </rPr>
      <t xml:space="preserve">ARCP </t>
    </r>
    <r>
      <rPr>
        <sz val="10"/>
        <rFont val="Noto Sans CJK SC"/>
        <family val="2"/>
      </rPr>
      <t xml:space="preserve">좌선회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분 레그</t>
    </r>
    <r>
      <rPr>
        <sz val="10"/>
        <rFont val="Malgun Gothic"/>
        <family val="0"/>
        <charset val="1"/>
      </rPr>
      <t xml:space="preserve">, ALT HOLD+HDG SEL → </t>
    </r>
    <r>
      <rPr>
        <sz val="10"/>
        <rFont val="Noto Sans CJK SC"/>
        <family val="2"/>
      </rPr>
      <t xml:space="preserve">급유 중 탱커 후방 근접 금지</t>
    </r>
  </si>
  <si>
    <t xml:space="preserve">R-26</t>
  </si>
  <si>
    <t xml:space="preserve">탱커 식별</t>
  </si>
  <si>
    <t xml:space="preserve">Tanker Identification</t>
  </si>
  <si>
    <r>
      <rPr>
        <sz val="10"/>
        <rFont val="Noto Sans CJK SC"/>
        <family val="2"/>
      </rPr>
      <t xml:space="preserve">다수 탱커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항공기가 있는 급유공역 진입 시 배정 탱커 확인 시</t>
    </r>
  </si>
  <si>
    <r>
      <rPr>
        <sz val="10"/>
        <rFont val="Malgun Gothic"/>
        <family val="0"/>
        <charset val="1"/>
      </rPr>
      <t xml:space="preserve">TACAN </t>
    </r>
    <r>
      <rPr>
        <sz val="10"/>
        <rFont val="Noto Sans CJK SC"/>
        <family val="2"/>
      </rPr>
      <t xml:space="preserve">채널 방위</t>
    </r>
    <r>
      <rPr>
        <sz val="10"/>
        <rFont val="Malgun Gothic"/>
        <family val="0"/>
        <charset val="1"/>
      </rPr>
      <t xml:space="preserve">/DME → FCR </t>
    </r>
    <r>
      <rPr>
        <sz val="10"/>
        <rFont val="Noto Sans CJK SC"/>
        <family val="2"/>
      </rPr>
      <t xml:space="preserve">락 일치 → </t>
    </r>
    <r>
      <rPr>
        <sz val="10"/>
        <rFont val="Malgun Gothic"/>
        <family val="0"/>
        <charset val="1"/>
      </rPr>
      <t xml:space="preserve">IFF LOS(TMS LEFT LONG) </t>
    </r>
    <r>
      <rPr>
        <sz val="10"/>
        <rFont val="Noto Sans CJK SC"/>
        <family val="2"/>
      </rPr>
      <t xml:space="preserve">녹색 원 → </t>
    </r>
    <r>
      <rPr>
        <sz val="10"/>
        <rFont val="Malgun Gothic"/>
        <family val="0"/>
        <charset val="1"/>
      </rPr>
      <t xml:space="preserve">HSD </t>
    </r>
    <r>
      <rPr>
        <sz val="10"/>
        <rFont val="Noto Sans CJK SC"/>
        <family val="2"/>
      </rPr>
      <t xml:space="preserve">데이터링크</t>
    </r>
    <r>
      <rPr>
        <sz val="10"/>
        <rFont val="Malgun Gothic"/>
        <family val="0"/>
        <charset val="1"/>
      </rPr>
      <t xml:space="preserve">/AWACS </t>
    </r>
    <r>
      <rPr>
        <sz val="10"/>
        <rFont val="Noto Sans CJK SC"/>
        <family val="2"/>
      </rPr>
      <t xml:space="preserve">교차확인 → </t>
    </r>
    <r>
      <rPr>
        <sz val="10"/>
        <rFont val="Malgun Gothic"/>
        <family val="0"/>
        <charset val="1"/>
      </rPr>
      <t xml:space="preserve">ARIP </t>
    </r>
    <r>
      <rPr>
        <sz val="10"/>
        <rFont val="Noto Sans CJK SC"/>
        <family val="2"/>
      </rPr>
      <t xml:space="preserve">전 식별 완료</t>
    </r>
  </si>
  <si>
    <t xml:space="preserve">8-22</t>
  </si>
  <si>
    <t xml:space="preserve">R-27</t>
  </si>
  <si>
    <r>
      <rPr>
        <sz val="10"/>
        <rFont val="Noto Sans CJK SC"/>
        <family val="2"/>
      </rPr>
      <t xml:space="preserve">포인트 패러렐</t>
    </r>
    <r>
      <rPr>
        <sz val="10"/>
        <rFont val="Malgun Gothic"/>
        <family val="0"/>
        <charset val="1"/>
      </rPr>
      <t xml:space="preserve">(Point Parallel) </t>
    </r>
    <r>
      <rPr>
        <sz val="10"/>
        <rFont val="Noto Sans CJK SC"/>
        <family val="2"/>
      </rPr>
      <t xml:space="preserve">랑데부</t>
    </r>
  </si>
  <si>
    <t xml:space="preserve">Point Parallel Rendezvous</t>
  </si>
  <si>
    <r>
      <rPr>
        <sz val="10"/>
        <rFont val="Malgun Gothic"/>
        <family val="0"/>
        <charset val="1"/>
      </rPr>
      <t xml:space="preserve">ARCT 15</t>
    </r>
    <r>
      <rPr>
        <sz val="10"/>
        <rFont val="Noto Sans CJK SC"/>
        <family val="2"/>
      </rPr>
      <t xml:space="preserve">분 전 호출부터 </t>
    </r>
    <r>
      <rPr>
        <sz val="10"/>
        <rFont val="Malgun Gothic"/>
        <family val="0"/>
        <charset val="1"/>
      </rPr>
      <t xml:space="preserve">ARIP </t>
    </r>
    <r>
      <rPr>
        <sz val="10"/>
        <rFont val="Noto Sans CJK SC"/>
        <family val="2"/>
      </rPr>
      <t xml:space="preserve">통과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탱커 턴레인지 선회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롤아웃 후 접근까지</t>
    </r>
  </si>
  <si>
    <r>
      <rPr>
        <sz val="10"/>
        <rFont val="Noto Sans CJK SC"/>
        <family val="2"/>
      </rPr>
      <t xml:space="preserve">탱커 궤도 반대 레그 오프셋 계획 →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분 전 </t>
    </r>
    <r>
      <rPr>
        <sz val="10"/>
        <rFont val="Malgun Gothic"/>
        <family val="0"/>
        <charset val="1"/>
      </rPr>
      <t xml:space="preserve">Intent to refuel → ARIP </t>
    </r>
    <r>
      <rPr>
        <sz val="10"/>
        <rFont val="Noto Sans CJK SC"/>
        <family val="2"/>
      </rPr>
      <t xml:space="preserve">후 </t>
    </r>
    <r>
      <rPr>
        <sz val="10"/>
        <rFont val="Malgun Gothic"/>
        <family val="0"/>
        <charset val="1"/>
      </rPr>
      <t xml:space="preserve">-1000ft, TACAN/FCR </t>
    </r>
    <r>
      <rPr>
        <sz val="10"/>
        <rFont val="Noto Sans CJK SC"/>
        <family val="2"/>
      </rPr>
      <t xml:space="preserve">접촉 → 탱커 선회 중 거리 확인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오버런 판단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롤아웃 후 </t>
    </r>
    <r>
      <rPr>
        <sz val="10"/>
        <rFont val="Malgun Gothic"/>
        <family val="0"/>
        <charset val="1"/>
      </rPr>
      <t xml:space="preserve">1~3NM </t>
    </r>
    <r>
      <rPr>
        <sz val="10"/>
        <rFont val="Noto Sans CJK SC"/>
        <family val="2"/>
      </rPr>
      <t xml:space="preserve">접근 → 프리컨택</t>
    </r>
  </si>
  <si>
    <t xml:space="preserve">R-28</t>
  </si>
  <si>
    <t xml:space="preserve">탱커 에스코트 동반 포인트 패러렐 랑데부</t>
  </si>
  <si>
    <t xml:space="preserve">Point Parallel Rendezvous With Tanker Escort</t>
  </si>
  <si>
    <t xml:space="preserve">앵커 패턴에서 에스코트 탱커가 궤도 탱커에 합류하며 수급기를 인계할 때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</si>
  <si>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에스코트 탱커 동반 포인트 패러렐 — 앵커 탱커에 </t>
    </r>
    <r>
      <rPr>
        <sz val="10"/>
        <rFont val="Malgun Gothic"/>
        <family val="0"/>
        <charset val="1"/>
      </rPr>
      <t xml:space="preserve">R-29 </t>
    </r>
    <r>
      <rPr>
        <sz val="10"/>
        <rFont val="Noto Sans CJK SC"/>
        <family val="2"/>
      </rPr>
      <t xml:space="preserve">방식 접근</t>
    </r>
  </si>
  <si>
    <t xml:space="preserve">8-23</t>
  </si>
  <si>
    <t xml:space="preserve">R-29</t>
  </si>
  <si>
    <r>
      <rPr>
        <sz val="10"/>
        <rFont val="Noto Sans CJK SC"/>
        <family val="2"/>
      </rPr>
      <t xml:space="preserve">수급기 턴온</t>
    </r>
    <r>
      <rPr>
        <sz val="10"/>
        <rFont val="Malgun Gothic"/>
        <family val="0"/>
        <charset val="1"/>
      </rPr>
      <t xml:space="preserve">(Turn-On) </t>
    </r>
    <r>
      <rPr>
        <sz val="10"/>
        <rFont val="Noto Sans CJK SC"/>
        <family val="2"/>
      </rPr>
      <t xml:space="preserve">랑데부</t>
    </r>
  </si>
  <si>
    <t xml:space="preserve">Receiver Turn-On Rendezvous</t>
  </si>
  <si>
    <t xml:space="preserve">전술항공통제 레이더 미가용 상태에서 앵커 탱커에 랑데부 시</t>
  </si>
  <si>
    <r>
      <rPr>
        <sz val="10"/>
        <rFont val="Noto Sans CJK SC"/>
        <family val="2"/>
      </rPr>
      <t xml:space="preserve">앵커 궤도 확인 → </t>
    </r>
    <r>
      <rPr>
        <sz val="10"/>
        <rFont val="Malgun Gothic"/>
        <family val="0"/>
        <charset val="1"/>
      </rPr>
      <t xml:space="preserve">70NM </t>
    </r>
    <r>
      <rPr>
        <sz val="10"/>
        <rFont val="Noto Sans CJK SC"/>
        <family val="2"/>
      </rPr>
      <t xml:space="preserve">상류 </t>
    </r>
    <r>
      <rPr>
        <sz val="10"/>
        <rFont val="Malgun Gothic"/>
        <family val="0"/>
        <charset val="1"/>
      </rPr>
      <t xml:space="preserve">ARIP STPT → -1000ft ALT HOLD, TACAN/FCR </t>
    </r>
    <r>
      <rPr>
        <sz val="10"/>
        <rFont val="Noto Sans CJK SC"/>
        <family val="2"/>
      </rPr>
      <t xml:space="preserve">추적</t>
    </r>
    <r>
      <rPr>
        <sz val="10"/>
        <rFont val="Malgun Gothic"/>
        <family val="0"/>
        <charset val="1"/>
      </rPr>
      <t xml:space="preserve">, Intent to refuel → </t>
    </r>
    <r>
      <rPr>
        <sz val="10"/>
        <rFont val="Noto Sans CJK SC"/>
        <family val="2"/>
      </rPr>
      <t xml:space="preserve">상류 끝 좌 </t>
    </r>
    <r>
      <rPr>
        <sz val="10"/>
        <rFont val="Malgun Gothic"/>
        <family val="0"/>
        <charset val="1"/>
      </rPr>
      <t xml:space="preserve">360</t>
    </r>
    <r>
      <rPr>
        <sz val="10"/>
        <rFont val="Noto Sans CJK SC"/>
        <family val="2"/>
      </rPr>
      <t xml:space="preserve">도 → 탱커 후방 트레일 → </t>
    </r>
    <r>
      <rPr>
        <sz val="10"/>
        <rFont val="Malgun Gothic"/>
        <family val="0"/>
        <charset val="1"/>
      </rPr>
      <t xml:space="preserve">1000ft </t>
    </r>
    <r>
      <rPr>
        <sz val="10"/>
        <rFont val="Noto Sans CJK SC"/>
        <family val="2"/>
      </rPr>
      <t xml:space="preserve">이격 유지 → 프리컨택</t>
    </r>
  </si>
  <si>
    <t xml:space="preserve">8-24</t>
  </si>
  <si>
    <t xml:space="preserve">R-30</t>
  </si>
  <si>
    <t xml:space="preserve">랑데부 오버런</t>
  </si>
  <si>
    <t xml:space="preserve">Rendezvous Overrun</t>
  </si>
  <si>
    <t xml:space="preserve">탱커 롤아웃 시 수급기가 탱커를 추월하거나 추월이 예상될 때</t>
  </si>
  <si>
    <r>
      <rPr>
        <sz val="10"/>
        <rFont val="Noto Sans CJK SC"/>
        <family val="2"/>
      </rPr>
      <t xml:space="preserve">오버런 → </t>
    </r>
    <r>
      <rPr>
        <sz val="10"/>
        <rFont val="Malgun Gothic"/>
        <family val="0"/>
        <charset val="1"/>
      </rPr>
      <t xml:space="preserve">-1000ft </t>
    </r>
    <r>
      <rPr>
        <sz val="10"/>
        <rFont val="Noto Sans CJK SC"/>
        <family val="2"/>
      </rPr>
      <t xml:space="preserve">하방 통과 → 스피드브레이크</t>
    </r>
    <r>
      <rPr>
        <sz val="10"/>
        <rFont val="Malgun Gothic"/>
        <family val="0"/>
        <charset val="1"/>
      </rPr>
      <t xml:space="preserve">, 290kt, </t>
    </r>
    <r>
      <rPr>
        <sz val="10"/>
        <rFont val="Noto Sans CJK SC"/>
        <family val="2"/>
      </rPr>
      <t xml:space="preserve">침로 유지 → 탱커 전방 확인 → 스피드브레이크 </t>
    </r>
    <r>
      <rPr>
        <sz val="10"/>
        <rFont val="Malgun Gothic"/>
        <family val="0"/>
        <charset val="1"/>
      </rPr>
      <t xml:space="preserve">CLOSE, </t>
    </r>
    <r>
      <rPr>
        <sz val="10"/>
        <rFont val="Noto Sans CJK SC"/>
        <family val="2"/>
      </rPr>
      <t xml:space="preserve">정상 접근</t>
    </r>
  </si>
  <si>
    <t xml:space="preserve">R-31</t>
  </si>
  <si>
    <r>
      <rPr>
        <sz val="10"/>
        <rFont val="Noto Sans CJK SC"/>
        <family val="2"/>
      </rPr>
      <t xml:space="preserve">항로 중</t>
    </r>
    <r>
      <rPr>
        <sz val="10"/>
        <rFont val="Malgun Gothic"/>
        <family val="0"/>
        <charset val="1"/>
      </rPr>
      <t xml:space="preserve">(Enroute) </t>
    </r>
    <r>
      <rPr>
        <sz val="10"/>
        <rFont val="Noto Sans CJK SC"/>
        <family val="2"/>
      </rPr>
      <t xml:space="preserve">랑데부</t>
    </r>
  </si>
  <si>
    <t xml:space="preserve">Enroute Rendezvous</t>
  </si>
  <si>
    <r>
      <rPr>
        <sz val="10"/>
        <rFont val="Noto Sans CJK SC"/>
        <family val="2"/>
      </rPr>
      <t xml:space="preserve">탱커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수급기가 개별 비행계획으로 공통 </t>
    </r>
    <r>
      <rPr>
        <sz val="10"/>
        <rFont val="Malgun Gothic"/>
        <family val="0"/>
        <charset val="1"/>
      </rPr>
      <t xml:space="preserve">RZ</t>
    </r>
    <r>
      <rPr>
        <sz val="10"/>
        <rFont val="Noto Sans CJK SC"/>
        <family val="2"/>
      </rPr>
      <t xml:space="preserve">에서 합류하도록 계획된 임무에서 이륙</t>
    </r>
    <r>
      <rPr>
        <sz val="10"/>
        <rFont val="Malgun Gothic"/>
        <family val="0"/>
        <charset val="1"/>
      </rPr>
      <t xml:space="preserve">~RZ </t>
    </r>
    <r>
      <rPr>
        <sz val="10"/>
        <rFont val="Noto Sans CJK SC"/>
        <family val="2"/>
      </rPr>
      <t xml:space="preserve">도달 시</t>
    </r>
  </si>
  <si>
    <r>
      <rPr>
        <sz val="10"/>
        <rFont val="Noto Sans CJK SC"/>
        <family val="2"/>
      </rPr>
      <t xml:space="preserve">계획 시각 이륙</t>
    </r>
    <r>
      <rPr>
        <sz val="10"/>
        <rFont val="Malgun Gothic"/>
        <family val="0"/>
        <charset val="1"/>
      </rPr>
      <t xml:space="preserve">, CRUS TOS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RZ </t>
    </r>
    <r>
      <rPr>
        <sz val="10"/>
        <rFont val="Noto Sans CJK SC"/>
        <family val="2"/>
      </rPr>
      <t xml:space="preserve">타이밍 → </t>
    </r>
    <r>
      <rPr>
        <sz val="10"/>
        <rFont val="Malgun Gothic"/>
        <family val="0"/>
        <charset val="1"/>
      </rPr>
      <t xml:space="preserve">-1000ft ALT HOLD </t>
    </r>
    <r>
      <rPr>
        <sz val="10"/>
        <rFont val="Noto Sans CJK SC"/>
        <family val="2"/>
      </rPr>
      <t xml:space="preserve">접근</t>
    </r>
    <r>
      <rPr>
        <sz val="10"/>
        <rFont val="Malgun Gothic"/>
        <family val="0"/>
        <charset val="1"/>
      </rPr>
      <t xml:space="preserve">, TACAN/FCR → visual/Intent to refuel → </t>
    </r>
    <r>
      <rPr>
        <sz val="10"/>
        <rFont val="Noto Sans CJK SC"/>
        <family val="2"/>
      </rPr>
      <t xml:space="preserve">필요 시 레이스트랙 지연 → </t>
    </r>
    <r>
      <rPr>
        <sz val="10"/>
        <rFont val="Malgun Gothic"/>
        <family val="0"/>
        <charset val="1"/>
      </rPr>
      <t xml:space="preserve">ARIP </t>
    </r>
    <r>
      <rPr>
        <sz val="10"/>
        <rFont val="Noto Sans CJK SC"/>
        <family val="2"/>
      </rPr>
      <t xml:space="preserve">후 에셜론</t>
    </r>
    <r>
      <rPr>
        <sz val="10"/>
        <rFont val="Malgun Gothic"/>
        <family val="0"/>
        <charset val="1"/>
      </rPr>
      <t xml:space="preserve">, ARCP 80NM </t>
    </r>
    <r>
      <rPr>
        <sz val="10"/>
        <rFont val="Noto Sans CJK SC"/>
        <family val="2"/>
      </rPr>
      <t xml:space="preserve">전 기준고도</t>
    </r>
  </si>
  <si>
    <t xml:space="preserve">R-32</t>
  </si>
  <si>
    <t xml:space="preserve">대체 랑데부 절차</t>
  </si>
  <si>
    <t xml:space="preserve">Alternate Rendezvous Procedures</t>
  </si>
  <si>
    <r>
      <rPr>
        <sz val="10"/>
        <rFont val="Malgun Gothic"/>
        <family val="0"/>
        <charset val="1"/>
      </rPr>
      <t xml:space="preserve">A/A TACAN·</t>
    </r>
    <r>
      <rPr>
        <sz val="10"/>
        <rFont val="Noto Sans CJK SC"/>
        <family val="2"/>
      </rPr>
      <t xml:space="preserve">레이더 등 랑데부 장비 고장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미가용 시</t>
    </r>
  </si>
  <si>
    <r>
      <rPr>
        <sz val="10"/>
        <rFont val="Noto Sans CJK SC"/>
        <family val="2"/>
      </rPr>
      <t xml:space="preserve">비콘 대신 </t>
    </r>
    <r>
      <rPr>
        <sz val="10"/>
        <rFont val="Malgun Gothic"/>
        <family val="0"/>
        <charset val="1"/>
      </rPr>
      <t xml:space="preserve">FCR </t>
    </r>
    <r>
      <rPr>
        <sz val="10"/>
        <rFont val="Noto Sans CJK SC"/>
        <family val="2"/>
      </rPr>
      <t xml:space="preserve">락 → 지상 </t>
    </r>
    <r>
      <rPr>
        <sz val="10"/>
        <rFont val="Malgun Gothic"/>
        <family val="0"/>
        <charset val="1"/>
      </rPr>
      <t xml:space="preserve">TACAN DME </t>
    </r>
    <r>
      <rPr>
        <sz val="10"/>
        <rFont val="Noto Sans CJK SC"/>
        <family val="2"/>
      </rPr>
      <t xml:space="preserve">차 </t>
    </r>
    <r>
      <rPr>
        <sz val="10"/>
        <rFont val="Malgun Gothic"/>
        <family val="0"/>
        <charset val="1"/>
      </rPr>
      <t xml:space="preserve">= </t>
    </r>
    <r>
      <rPr>
        <sz val="10"/>
        <rFont val="Noto Sans CJK SC"/>
        <family val="2"/>
      </rPr>
      <t xml:space="preserve">턴레인지에서 선회 → </t>
    </r>
    <r>
      <rPr>
        <sz val="10"/>
        <rFont val="Malgun Gothic"/>
        <family val="0"/>
        <charset val="1"/>
      </rPr>
      <t xml:space="preserve">DF </t>
    </r>
    <r>
      <rPr>
        <sz val="10"/>
        <rFont val="Noto Sans CJK SC"/>
        <family val="2"/>
      </rPr>
      <t xml:space="preserve">대신 </t>
    </r>
    <r>
      <rPr>
        <sz val="10"/>
        <rFont val="Malgun Gothic"/>
        <family val="0"/>
        <charset val="1"/>
      </rPr>
      <t xml:space="preserve">AWACS/HSD </t>
    </r>
    <r>
      <rPr>
        <sz val="10"/>
        <rFont val="Noto Sans CJK SC"/>
        <family val="2"/>
      </rPr>
      <t xml:space="preserve">트랙 → </t>
    </r>
    <r>
      <rPr>
        <sz val="10"/>
        <rFont val="Malgun Gothic"/>
        <family val="0"/>
        <charset val="1"/>
      </rPr>
      <t xml:space="preserve">CRUS TOS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ETA </t>
    </r>
    <r>
      <rPr>
        <sz val="10"/>
        <rFont val="Noto Sans CJK SC"/>
        <family val="2"/>
      </rPr>
      <t xml:space="preserve">방식 → 지상레이더 대신 </t>
    </r>
    <r>
      <rPr>
        <sz val="10"/>
        <rFont val="Malgun Gothic"/>
        <family val="0"/>
        <charset val="1"/>
      </rPr>
      <t xml:space="preserve">AWACS</t>
    </r>
  </si>
  <si>
    <t xml:space="preserve">8-26</t>
  </si>
  <si>
    <t xml:space="preserve">R-33</t>
  </si>
  <si>
    <r>
      <rPr>
        <sz val="10"/>
        <rFont val="Malgun Gothic"/>
        <family val="0"/>
        <charset val="1"/>
      </rPr>
      <t xml:space="preserve">Emission Option 3 </t>
    </r>
    <r>
      <rPr>
        <sz val="10"/>
        <rFont val="Noto Sans CJK SC"/>
        <family val="2"/>
      </rPr>
      <t xml:space="preserve">사전조율 항목</t>
    </r>
  </si>
  <si>
    <t xml:space="preserve">Emission Option 3 Coordination Items</t>
  </si>
  <si>
    <r>
      <rPr>
        <sz val="10"/>
        <rFont val="Noto Sans CJK SC"/>
        <family val="2"/>
      </rPr>
      <t xml:space="preserve">임무계획 브리핑에서 </t>
    </r>
    <r>
      <rPr>
        <sz val="10"/>
        <rFont val="Malgun Gothic"/>
        <family val="0"/>
        <charset val="1"/>
      </rPr>
      <t xml:space="preserve">Emission Option 3(</t>
    </r>
    <r>
      <rPr>
        <sz val="10"/>
        <rFont val="Noto Sans CJK SC"/>
        <family val="2"/>
      </rPr>
      <t xml:space="preserve">무선침묵 급유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가 지정된 경우 </t>
    </r>
    <r>
      <rPr>
        <sz val="10"/>
        <rFont val="Malgun Gothic"/>
        <family val="0"/>
        <charset val="1"/>
      </rPr>
      <t xml:space="preserve">/ ARIP </t>
    </r>
    <r>
      <rPr>
        <sz val="10"/>
        <rFont val="Noto Sans CJK SC"/>
        <family val="2"/>
      </rPr>
      <t xml:space="preserve">인바운드 진입 전</t>
    </r>
  </si>
  <si>
    <r>
      <rPr>
        <sz val="10"/>
        <rFont val="Noto Sans CJK SC"/>
        <family val="2"/>
      </rPr>
      <t xml:space="preserve">브리핑</t>
    </r>
    <r>
      <rPr>
        <sz val="10"/>
        <rFont val="Malgun Gothic"/>
        <family val="0"/>
        <charset val="1"/>
      </rPr>
      <t xml:space="preserve">: RZ </t>
    </r>
    <r>
      <rPr>
        <sz val="10"/>
        <rFont val="Noto Sans CJK SC"/>
        <family val="2"/>
      </rPr>
      <t xml:space="preserve">고도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시각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인바운드 침로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무선침묵 종료시각 → </t>
    </r>
    <r>
      <rPr>
        <sz val="10"/>
        <rFont val="Malgun Gothic"/>
        <family val="0"/>
        <charset val="1"/>
      </rPr>
      <t xml:space="preserve">TACAN T/R + EHSI TCN → 30</t>
    </r>
    <r>
      <rPr>
        <sz val="10"/>
        <rFont val="Noto Sans CJK SC"/>
        <family val="2"/>
      </rPr>
      <t xml:space="preserve">도</t>
    </r>
    <r>
      <rPr>
        <sz val="10"/>
        <rFont val="Malgun Gothic"/>
        <family val="0"/>
        <charset val="1"/>
      </rPr>
      <t xml:space="preserve">·40NM </t>
    </r>
    <r>
      <rPr>
        <sz val="10"/>
        <rFont val="Noto Sans CJK SC"/>
        <family val="2"/>
      </rPr>
      <t xml:space="preserve">인바운드 → </t>
    </r>
    <r>
      <rPr>
        <sz val="10"/>
        <rFont val="Malgun Gothic"/>
        <family val="0"/>
        <charset val="1"/>
      </rPr>
      <t xml:space="preserve">'Intent to refuel'</t>
    </r>
  </si>
  <si>
    <t xml:space="preserve">8-27</t>
  </si>
  <si>
    <t xml:space="preserve">R-34</t>
  </si>
  <si>
    <t xml:space="preserve">랑데부 실패 절차</t>
  </si>
  <si>
    <t xml:space="preserve">Missed Rendezvous Procedures</t>
  </si>
  <si>
    <r>
      <rPr>
        <sz val="10"/>
        <rFont val="Malgun Gothic"/>
        <family val="0"/>
        <charset val="1"/>
      </rPr>
      <t xml:space="preserve">RZ/ARIP</t>
    </r>
    <r>
      <rPr>
        <sz val="10"/>
        <rFont val="Noto Sans CJK SC"/>
        <family val="2"/>
      </rPr>
      <t xml:space="preserve">에서 탱커 시각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레이더 접촉이 성립되지 않았을 때</t>
    </r>
  </si>
  <si>
    <r>
      <rPr>
        <sz val="10"/>
        <rFont val="Noto Sans CJK SC"/>
        <family val="2"/>
      </rPr>
      <t xml:space="preserve">접촉 실패 → </t>
    </r>
    <r>
      <rPr>
        <sz val="10"/>
        <rFont val="Malgun Gothic"/>
        <family val="0"/>
        <charset val="1"/>
      </rPr>
      <t xml:space="preserve">ARCP </t>
    </r>
    <r>
      <rPr>
        <sz val="10"/>
        <rFont val="Noto Sans CJK SC"/>
        <family val="2"/>
      </rPr>
      <t xml:space="preserve">좌선회 대기</t>
    </r>
    <r>
      <rPr>
        <sz val="10"/>
        <rFont val="Malgun Gothic"/>
        <family val="0"/>
        <charset val="1"/>
      </rPr>
      <t xml:space="preserve">(8</t>
    </r>
    <r>
      <rPr>
        <sz val="10"/>
        <rFont val="Noto Sans CJK SC"/>
        <family val="2"/>
      </rPr>
      <t xml:space="preserve">분 간격</t>
    </r>
    <r>
      <rPr>
        <sz val="10"/>
        <rFont val="Malgun Gothic"/>
        <family val="0"/>
        <charset val="1"/>
      </rPr>
      <t xml:space="preserve">) → TACAN/HSD</t>
    </r>
    <r>
      <rPr>
        <sz val="10"/>
        <rFont val="Noto Sans CJK SC"/>
        <family val="2"/>
      </rPr>
      <t xml:space="preserve">로 탱커 재확인 → 한계시간 후 무선 호출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재합류</t>
    </r>
  </si>
  <si>
    <t xml:space="preserve">R-35</t>
  </si>
  <si>
    <r>
      <rPr>
        <sz val="10"/>
        <rFont val="Noto Sans CJK SC"/>
        <family val="2"/>
      </rPr>
      <t xml:space="preserve">급유 순서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핑거팁 편대</t>
    </r>
    <r>
      <rPr>
        <sz val="10"/>
        <rFont val="Malgun Gothic"/>
        <family val="0"/>
        <charset val="1"/>
      </rPr>
      <t xml:space="preserve">)</t>
    </r>
  </si>
  <si>
    <t xml:space="preserve">Refueling Sequence (Fingertip Formation)</t>
  </si>
  <si>
    <r>
      <rPr>
        <sz val="10"/>
        <rFont val="Noto Sans CJK SC"/>
        <family val="2"/>
      </rPr>
      <t xml:space="preserve">편대가 탱커 관측위치</t>
    </r>
    <r>
      <rPr>
        <sz val="10"/>
        <rFont val="Malgun Gothic"/>
        <family val="0"/>
        <charset val="1"/>
      </rPr>
      <t xml:space="preserve">(Observation)</t>
    </r>
    <r>
      <rPr>
        <sz val="10"/>
        <rFont val="Noto Sans CJK SC"/>
        <family val="2"/>
      </rPr>
      <t xml:space="preserve">에 합류 완료 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리더의 급유 순서 지정 시</t>
    </r>
  </si>
  <si>
    <r>
      <rPr>
        <sz val="10"/>
        <rFont val="Noto Sans CJK SC"/>
        <family val="2"/>
      </rPr>
      <t xml:space="preserve">리더 프리컨택 →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번기</t>
    </r>
    <r>
      <rPr>
        <sz val="10"/>
        <rFont val="Malgun Gothic"/>
        <family val="0"/>
        <charset val="1"/>
      </rPr>
      <t xml:space="preserve">/2</t>
    </r>
    <r>
      <rPr>
        <sz val="10"/>
        <rFont val="Noto Sans CJK SC"/>
        <family val="2"/>
      </rPr>
      <t xml:space="preserve">엘리먼트 관측위치 → 순번대로 프리컨택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컨택 → 완료기 원 엘리먼트 바깥 날개 → 전원 완료 후 탱커 아래쪽으로 재편성</t>
    </r>
  </si>
  <si>
    <t xml:space="preserve">R-36</t>
  </si>
  <si>
    <r>
      <rPr>
        <sz val="10"/>
        <rFont val="Noto Sans CJK SC"/>
        <family val="2"/>
      </rPr>
      <t xml:space="preserve">에셜론 편대 </t>
    </r>
    <r>
      <rPr>
        <sz val="10"/>
        <rFont val="Malgun Gothic"/>
        <family val="0"/>
        <charset val="1"/>
      </rPr>
      <t xml:space="preserve">(VMC </t>
    </r>
    <r>
      <rPr>
        <sz val="10"/>
        <rFont val="Noto Sans CJK SC"/>
        <family val="2"/>
      </rPr>
      <t xml:space="preserve">전용</t>
    </r>
    <r>
      <rPr>
        <sz val="10"/>
        <rFont val="Malgun Gothic"/>
        <family val="0"/>
        <charset val="1"/>
      </rPr>
      <t xml:space="preserve">)</t>
    </r>
  </si>
  <si>
    <t xml:space="preserve">Echelon Formation (VMC Only)</t>
  </si>
  <si>
    <r>
      <rPr>
        <sz val="10"/>
        <rFont val="Malgun Gothic"/>
        <family val="0"/>
        <charset val="1"/>
      </rPr>
      <t xml:space="preserve">VMC, </t>
    </r>
    <r>
      <rPr>
        <sz val="10"/>
        <rFont val="Noto Sans CJK SC"/>
        <family val="2"/>
      </rPr>
      <t xml:space="preserve">편대가 에셜론으로 탱커에 합류하여 리더가 급유 순서를 지정할 때</t>
    </r>
  </si>
  <si>
    <r>
      <rPr>
        <sz val="10"/>
        <rFont val="Noto Sans CJK SC"/>
        <family val="2"/>
      </rPr>
      <t xml:space="preserve">에셜론 관측위치 → 리더 순서 지정 → 시각 클리어 후 프리컨택 → 급유 → 반대편 날개 에셜론 재합류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탱커 하부 통과 금지</t>
    </r>
    <r>
      <rPr>
        <sz val="10"/>
        <rFont val="Malgun Gothic"/>
        <family val="0"/>
        <charset val="1"/>
      </rPr>
      <t xml:space="preserve">)</t>
    </r>
  </si>
  <si>
    <t xml:space="preserve">R-37</t>
  </si>
  <si>
    <r>
      <rPr>
        <sz val="10"/>
        <rFont val="Noto Sans CJK SC"/>
        <family val="2"/>
      </rPr>
      <t xml:space="preserve">연료 관리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급유 전 확인</t>
    </r>
    <r>
      <rPr>
        <sz val="10"/>
        <rFont val="Malgun Gothic"/>
        <family val="0"/>
        <charset val="1"/>
      </rPr>
      <t xml:space="preserve">)</t>
    </r>
  </si>
  <si>
    <t xml:space="preserve">Fuel Management</t>
  </si>
  <si>
    <r>
      <rPr>
        <sz val="10"/>
        <rFont val="Noto Sans CJK SC"/>
        <family val="2"/>
      </rPr>
      <t xml:space="preserve">프리컨택 위치 진입 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관측위치 또는 </t>
    </r>
    <r>
      <rPr>
        <sz val="10"/>
        <rFont val="Malgun Gothic"/>
        <family val="0"/>
        <charset val="1"/>
      </rPr>
      <t xml:space="preserve">1NM </t>
    </r>
    <r>
      <rPr>
        <sz val="10"/>
        <rFont val="Noto Sans CJK SC"/>
        <family val="2"/>
      </rPr>
      <t xml:space="preserve">트레일 이전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</si>
  <si>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ENG FEED NORM → FUEL QTY SEL NORM/INT WING/EXT </t>
    </r>
    <r>
      <rPr>
        <sz val="10"/>
        <rFont val="Noto Sans CJK SC"/>
        <family val="2"/>
      </rPr>
      <t xml:space="preserve">순회 확인 → 편중 없음 → </t>
    </r>
    <r>
      <rPr>
        <sz val="10"/>
        <rFont val="Malgun Gothic"/>
        <family val="0"/>
        <charset val="1"/>
      </rPr>
      <t xml:space="preserve">NORM </t>
    </r>
    <r>
      <rPr>
        <sz val="10"/>
        <rFont val="Noto Sans CJK SC"/>
        <family val="2"/>
      </rPr>
      <t xml:space="preserve">복귀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외부탱크</t>
    </r>
    <r>
      <rPr>
        <sz val="10"/>
        <rFont val="Malgun Gothic"/>
        <family val="0"/>
        <charset val="1"/>
      </rPr>
      <t xml:space="preserve">) AR </t>
    </r>
    <r>
      <rPr>
        <sz val="10"/>
        <rFont val="Noto Sans CJK SC"/>
        <family val="2"/>
      </rPr>
      <t xml:space="preserve">도어 </t>
    </r>
    <r>
      <rPr>
        <sz val="10"/>
        <rFont val="Malgun Gothic"/>
        <family val="0"/>
        <charset val="1"/>
      </rPr>
      <t xml:space="preserve">5~6</t>
    </r>
    <r>
      <rPr>
        <sz val="10"/>
        <rFont val="Noto Sans CJK SC"/>
        <family val="2"/>
      </rPr>
      <t xml:space="preserve">분 전 </t>
    </r>
    <r>
      <rPr>
        <sz val="10"/>
        <rFont val="Malgun Gothic"/>
        <family val="0"/>
        <charset val="1"/>
      </rPr>
      <t xml:space="preserve">OPEN</t>
    </r>
  </si>
  <si>
    <t xml:space="preserve">8-28</t>
  </si>
  <si>
    <t xml:space="preserve">R-38</t>
  </si>
  <si>
    <r>
      <rPr>
        <sz val="10"/>
        <rFont val="Noto Sans CJK SC"/>
        <family val="2"/>
      </rPr>
      <t xml:space="preserve">프리컨택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접촉 전 위치</t>
    </r>
    <r>
      <rPr>
        <sz val="10"/>
        <rFont val="Malgun Gothic"/>
        <family val="0"/>
        <charset val="1"/>
      </rPr>
      <t xml:space="preserve">)</t>
    </r>
  </si>
  <si>
    <t xml:space="preserve">Precontact</t>
  </si>
  <si>
    <t xml:space="preserve">관측위치에서 프리컨택 급유점검을 마치고 붐 후방 프리컨택 위치에 안정화되었을 때</t>
  </si>
  <si>
    <r>
      <rPr>
        <sz val="10"/>
        <rFont val="Malgun Gothic"/>
        <family val="0"/>
        <charset val="1"/>
      </rPr>
      <t xml:space="preserve">AR OPEN/RDY → Master Arm OFF → RF SILENT → </t>
    </r>
    <r>
      <rPr>
        <sz val="10"/>
        <rFont val="Noto Sans CJK SC"/>
        <family val="2"/>
      </rPr>
      <t xml:space="preserve">프리컨택 안정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콜 → </t>
    </r>
    <r>
      <rPr>
        <sz val="10"/>
        <rFont val="Malgun Gothic"/>
        <family val="0"/>
        <charset val="1"/>
      </rPr>
      <t xml:space="preserve">2~3kt </t>
    </r>
    <r>
      <rPr>
        <sz val="10"/>
        <rFont val="Noto Sans CJK SC"/>
        <family val="2"/>
      </rPr>
      <t xml:space="preserve">접근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탱커 기준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러더 금지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노란 줄무늬</t>
    </r>
    <r>
      <rPr>
        <sz val="10"/>
        <rFont val="Malgun Gothic"/>
        <family val="0"/>
        <charset val="1"/>
      </rPr>
      <t xml:space="preserve">·PDI → </t>
    </r>
    <r>
      <rPr>
        <sz val="10"/>
        <rFont val="Noto Sans CJK SC"/>
        <family val="2"/>
      </rPr>
      <t xml:space="preserve">컨택 유지 → </t>
    </r>
    <r>
      <rPr>
        <sz val="10"/>
        <rFont val="Malgun Gothic"/>
        <family val="0"/>
        <charset val="1"/>
      </rPr>
      <t xml:space="preserve">AR/NWS </t>
    </r>
    <r>
      <rPr>
        <sz val="10"/>
        <rFont val="Noto Sans CJK SC"/>
        <family val="2"/>
      </rPr>
      <t xml:space="preserve">점등</t>
    </r>
  </si>
  <si>
    <t xml:space="preserve">R-39</t>
  </si>
  <si>
    <r>
      <rPr>
        <sz val="10"/>
        <rFont val="Noto Sans CJK SC"/>
        <family val="2"/>
      </rPr>
      <t xml:space="preserve">컨택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접촉</t>
    </r>
    <r>
      <rPr>
        <sz val="10"/>
        <rFont val="Malgun Gothic"/>
        <family val="0"/>
        <charset val="1"/>
      </rPr>
      <t xml:space="preserve">) / </t>
    </r>
    <r>
      <rPr>
        <sz val="10"/>
        <rFont val="Noto Sans CJK SC"/>
        <family val="2"/>
      </rPr>
      <t xml:space="preserve">연료 미전달 시 재시도 절차</t>
    </r>
  </si>
  <si>
    <t xml:space="preserve">Contact / Fuel Not Transferring Recycle Procedure</t>
  </si>
  <si>
    <r>
      <rPr>
        <sz val="10"/>
        <rFont val="Malgun Gothic"/>
        <family val="0"/>
        <charset val="1"/>
      </rPr>
      <t xml:space="preserve">AR/NWS </t>
    </r>
    <r>
      <rPr>
        <sz val="10"/>
        <rFont val="Noto Sans CJK SC"/>
        <family val="2"/>
      </rPr>
      <t xml:space="preserve">점등 후 연료량이 증가하지 않거나 전달률이 비정상적으로 낮을 때</t>
    </r>
  </si>
  <si>
    <r>
      <rPr>
        <sz val="10"/>
        <rFont val="Noto Sans CJK SC"/>
        <family val="2"/>
      </rPr>
      <t xml:space="preserve">연료 증가 감시 → 미전달 시 </t>
    </r>
    <r>
      <rPr>
        <sz val="10"/>
        <rFont val="Malgun Gothic"/>
        <family val="0"/>
        <charset val="1"/>
      </rPr>
      <t xml:space="preserve">A/R DISC('S') → DISC </t>
    </r>
    <r>
      <rPr>
        <sz val="10"/>
        <rFont val="Noto Sans CJK SC"/>
        <family val="2"/>
      </rPr>
      <t xml:space="preserve">점등→</t>
    </r>
    <r>
      <rPr>
        <sz val="10"/>
        <rFont val="Malgun Gothic"/>
        <family val="0"/>
        <charset val="1"/>
      </rPr>
      <t xml:space="preserve">RDY </t>
    </r>
    <r>
      <rPr>
        <sz val="10"/>
        <rFont val="Noto Sans CJK SC"/>
        <family val="2"/>
      </rPr>
      <t xml:space="preserve">재점등 → 재접촉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재발 시 </t>
    </r>
    <r>
      <rPr>
        <sz val="10"/>
        <rFont val="Malgun Gothic"/>
        <family val="0"/>
        <charset val="1"/>
      </rPr>
      <t xml:space="preserve">AR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CLOSE→OPEN </t>
    </r>
    <r>
      <rPr>
        <sz val="10"/>
        <rFont val="Noto Sans CJK SC"/>
        <family val="2"/>
      </rPr>
      <t xml:space="preserve">리사이클 → 프리컨택 복귀 후 재시도</t>
    </r>
  </si>
  <si>
    <t xml:space="preserve">8-29</t>
  </si>
  <si>
    <t xml:space="preserve">R-40</t>
  </si>
  <si>
    <r>
      <rPr>
        <sz val="10"/>
        <rFont val="Noto Sans CJK SC"/>
        <family val="2"/>
      </rPr>
      <t xml:space="preserve">디스커넥트 — </t>
    </r>
    <r>
      <rPr>
        <sz val="10"/>
        <rFont val="Malgun Gothic"/>
        <family val="0"/>
        <charset val="1"/>
      </rPr>
      <t xml:space="preserve">KC-135</t>
    </r>
  </si>
  <si>
    <t xml:space="preserve">Disconnect KC-135</t>
  </si>
  <si>
    <r>
      <rPr>
        <sz val="10"/>
        <rFont val="Malgun Gothic"/>
        <family val="0"/>
        <charset val="1"/>
      </rPr>
      <t xml:space="preserve">KC-135</t>
    </r>
    <r>
      <rPr>
        <sz val="10"/>
        <rFont val="Noto Sans CJK SC"/>
        <family val="2"/>
      </rPr>
      <t xml:space="preserve">로부터 오프로드 완료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만재 또는 요청량 도달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조기 종료 결정 시</t>
    </r>
  </si>
  <si>
    <r>
      <rPr>
        <sz val="10"/>
        <rFont val="Noto Sans CJK SC"/>
        <family val="2"/>
      </rPr>
      <t xml:space="preserve">만재 자동 분리 또는 </t>
    </r>
    <r>
      <rPr>
        <sz val="10"/>
        <rFont val="Malgun Gothic"/>
        <family val="0"/>
        <charset val="1"/>
      </rPr>
      <t xml:space="preserve">A/R DISC('S') → DISC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붐 분리 확인까지 위치 유지 → 완만히 후방 이탈 → </t>
    </r>
    <r>
      <rPr>
        <sz val="10"/>
        <rFont val="Malgun Gothic"/>
        <family val="0"/>
        <charset val="1"/>
      </rPr>
      <t xml:space="preserve">AR CLOSE</t>
    </r>
  </si>
  <si>
    <t xml:space="preserve">R-41</t>
  </si>
  <si>
    <t xml:space="preserve">퀵플로우 공중급유 절차</t>
  </si>
  <si>
    <t xml:space="preserve">Quick Flow Air Refueling Procedures</t>
  </si>
  <si>
    <r>
      <rPr>
        <sz val="10"/>
        <rFont val="Malgun Gothic"/>
        <family val="0"/>
        <charset val="1"/>
      </rPr>
      <t xml:space="preserve">VMC </t>
    </r>
    <r>
      <rPr>
        <sz val="10"/>
        <rFont val="Noto Sans CJK SC"/>
        <family val="2"/>
      </rPr>
      <t xml:space="preserve">주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야간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브리핑 또는 최초 무전에 </t>
    </r>
    <r>
      <rPr>
        <sz val="10"/>
        <rFont val="Malgun Gothic"/>
        <family val="0"/>
        <charset val="1"/>
      </rPr>
      <t xml:space="preserve">'Quick Flow'</t>
    </r>
    <r>
      <rPr>
        <sz val="10"/>
        <rFont val="Noto Sans CJK SC"/>
        <family val="2"/>
      </rPr>
      <t xml:space="preserve">가 지정되었을 때</t>
    </r>
  </si>
  <si>
    <r>
      <rPr>
        <sz val="10"/>
        <rFont val="Malgun Gothic"/>
        <family val="0"/>
        <charset val="1"/>
      </rPr>
      <t xml:space="preserve">'Quick Flow' </t>
    </r>
    <r>
      <rPr>
        <sz val="10"/>
        <rFont val="Noto Sans CJK SC"/>
        <family val="2"/>
      </rPr>
      <t xml:space="preserve">선언 → 우측 에셜론 → 리더 프리컨택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컨택 →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번 온덱</t>
    </r>
    <r>
      <rPr>
        <sz val="10"/>
        <rFont val="Malgun Gothic"/>
        <family val="0"/>
        <charset val="1"/>
      </rPr>
      <t xml:space="preserve">(10ft) → </t>
    </r>
    <r>
      <rPr>
        <sz val="10"/>
        <rFont val="Noto Sans CJK SC"/>
        <family val="2"/>
      </rPr>
      <t xml:space="preserve">완료기 좌측 날개 → 순환 → 전원 완료 이탈</t>
    </r>
  </si>
  <si>
    <t xml:space="preserve">R-42</t>
  </si>
  <si>
    <r>
      <rPr>
        <sz val="10"/>
        <rFont val="Noto Sans CJK SC"/>
        <family val="2"/>
      </rPr>
      <t xml:space="preserve">디스커넥트 — </t>
    </r>
    <r>
      <rPr>
        <sz val="10"/>
        <rFont val="Malgun Gothic"/>
        <family val="0"/>
        <charset val="1"/>
      </rPr>
      <t xml:space="preserve">KC-10/KDC-10</t>
    </r>
  </si>
  <si>
    <t xml:space="preserve">Disconnect KC-10/KDC-10</t>
  </si>
  <si>
    <r>
      <rPr>
        <sz val="10"/>
        <rFont val="Malgun Gothic"/>
        <family val="0"/>
        <charset val="1"/>
      </rPr>
      <t xml:space="preserve">KC-10/KDC-10 </t>
    </r>
    <r>
      <rPr>
        <sz val="10"/>
        <rFont val="Noto Sans CJK SC"/>
        <family val="2"/>
      </rPr>
      <t xml:space="preserve">붐 오퍼레이터가 붐 </t>
    </r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고장을 통보했을 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</si>
  <si>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KC-10 </t>
    </r>
    <r>
      <rPr>
        <sz val="10"/>
        <rFont val="Noto Sans CJK SC"/>
        <family val="2"/>
      </rPr>
      <t xml:space="preserve">붐 </t>
    </r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고장 통보 → 붐 오퍼레이터 지시 전 디스커넥트 금지 → 유도된 위치에서 분리</t>
    </r>
  </si>
  <si>
    <t xml:space="preserve">R-43</t>
  </si>
  <si>
    <r>
      <rPr>
        <sz val="10"/>
        <rFont val="Noto Sans CJK SC"/>
        <family val="2"/>
      </rPr>
      <t xml:space="preserve">토보건</t>
    </r>
    <r>
      <rPr>
        <sz val="10"/>
        <rFont val="Malgun Gothic"/>
        <family val="0"/>
        <charset val="1"/>
      </rPr>
      <t xml:space="preserve">(Toboggan) </t>
    </r>
    <r>
      <rPr>
        <sz val="10"/>
        <rFont val="Noto Sans CJK SC"/>
        <family val="2"/>
      </rPr>
      <t xml:space="preserve">기동</t>
    </r>
  </si>
  <si>
    <t xml:space="preserve">Toboggan</t>
  </si>
  <si>
    <r>
      <rPr>
        <sz val="10"/>
        <rFont val="Noto Sans CJK SC"/>
        <family val="2"/>
      </rPr>
      <t xml:space="preserve">컨택 위치 유지에 </t>
    </r>
    <r>
      <rPr>
        <sz val="10"/>
        <rFont val="Malgun Gothic"/>
        <family val="0"/>
        <charset val="1"/>
      </rPr>
      <t xml:space="preserve">MIL </t>
    </r>
    <r>
      <rPr>
        <sz val="10"/>
        <rFont val="Noto Sans CJK SC"/>
        <family val="2"/>
      </rPr>
      <t xml:space="preserve">파워 근접 추력이 필요해질 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고고도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고중량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고온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</si>
  <si>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MIL </t>
    </r>
    <r>
      <rPr>
        <sz val="10"/>
        <rFont val="Noto Sans CJK SC"/>
        <family val="2"/>
      </rPr>
      <t xml:space="preserve">근접 시 탱커에 토보건 요청 → 탱커 </t>
    </r>
    <r>
      <rPr>
        <sz val="10"/>
        <rFont val="Malgun Gothic"/>
        <family val="0"/>
        <charset val="1"/>
      </rPr>
      <t xml:space="preserve">300fpm </t>
    </r>
    <r>
      <rPr>
        <sz val="10"/>
        <rFont val="Noto Sans CJK SC"/>
        <family val="2"/>
      </rPr>
      <t xml:space="preserve">강하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속도 유지 → 급유 지속 </t>
    </r>
    <r>
      <rPr>
        <sz val="10"/>
        <rFont val="Malgun Gothic"/>
        <family val="0"/>
        <charset val="1"/>
      </rPr>
      <t xml:space="preserve">/ DCS: </t>
    </r>
    <r>
      <rPr>
        <sz val="10"/>
        <rFont val="Noto Sans CJK SC"/>
        <family val="2"/>
      </rPr>
      <t xml:space="preserve">탱커 오빗 고도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속도 낮게 설정</t>
    </r>
  </si>
  <si>
    <t xml:space="preserve">8-31</t>
  </si>
  <si>
    <t xml:space="preserve">R-44</t>
  </si>
  <si>
    <t xml:space="preserve">단일 탱커로부터의 분리</t>
  </si>
  <si>
    <t xml:space="preserve">Separation From a Single Tanker</t>
  </si>
  <si>
    <t xml:space="preserve">편대 전 기체 급유 완료 및 재편성 후</t>
  </si>
  <si>
    <r>
      <rPr>
        <sz val="10"/>
        <rFont val="Noto Sans CJK SC"/>
        <family val="2"/>
      </rPr>
      <t xml:space="preserve">전기 </t>
    </r>
    <r>
      <rPr>
        <sz val="10"/>
        <rFont val="Malgun Gothic"/>
        <family val="0"/>
        <charset val="1"/>
      </rPr>
      <t xml:space="preserve">AR CLOSE → </t>
    </r>
    <r>
      <rPr>
        <sz val="10"/>
        <rFont val="Noto Sans CJK SC"/>
        <family val="2"/>
      </rPr>
      <t xml:space="preserve">편대 재편성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탱커 아래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하강 이탈 → 탱커 트랙 클리어 → 다음 </t>
    </r>
    <r>
      <rPr>
        <sz val="10"/>
        <rFont val="Malgun Gothic"/>
        <family val="0"/>
        <charset val="1"/>
      </rPr>
      <t xml:space="preserve">STPT </t>
    </r>
    <r>
      <rPr>
        <sz val="10"/>
        <rFont val="Noto Sans CJK SC"/>
        <family val="2"/>
      </rPr>
      <t xml:space="preserve">항법</t>
    </r>
  </si>
  <si>
    <t xml:space="preserve">R-45</t>
  </si>
  <si>
    <r>
      <rPr>
        <sz val="10"/>
        <rFont val="Noto Sans CJK SC"/>
        <family val="2"/>
      </rPr>
      <t xml:space="preserve">순항 편대 종료 </t>
    </r>
    <r>
      <rPr>
        <sz val="10"/>
        <rFont val="Malgun Gothic"/>
        <family val="0"/>
        <charset val="1"/>
      </rPr>
      <t xml:space="preserve">(VMC)</t>
    </r>
  </si>
  <si>
    <t xml:space="preserve">Cruise Cell Termination (VMC)</t>
  </si>
  <si>
    <r>
      <rPr>
        <sz val="10"/>
        <rFont val="Malgun Gothic"/>
        <family val="0"/>
        <charset val="1"/>
      </rPr>
      <t xml:space="preserve">VMC, </t>
    </r>
    <r>
      <rPr>
        <sz val="10"/>
        <rFont val="Noto Sans CJK SC"/>
        <family val="2"/>
      </rPr>
      <t xml:space="preserve">셀 종료지점 또는 급유 완료 후 수급기 편대장 허가 시</t>
    </r>
  </si>
  <si>
    <r>
      <rPr>
        <sz val="10"/>
        <rFont val="Noto Sans CJK SC"/>
        <family val="2"/>
      </rPr>
      <t xml:space="preserve">엘리먼트 합류 → 리드 탱커 좌측 아래 재편성 → 탱커 트랙 이탈 → 임무 </t>
    </r>
    <r>
      <rPr>
        <sz val="10"/>
        <rFont val="Malgun Gothic"/>
        <family val="0"/>
        <charset val="1"/>
      </rPr>
      <t xml:space="preserve">STPT </t>
    </r>
    <r>
      <rPr>
        <sz val="10"/>
        <rFont val="Noto Sans CJK SC"/>
        <family val="2"/>
      </rPr>
      <t xml:space="preserve">항법</t>
    </r>
  </si>
  <si>
    <t xml:space="preserve">R-46</t>
  </si>
  <si>
    <r>
      <rPr>
        <sz val="10"/>
        <rFont val="Noto Sans CJK SC"/>
        <family val="2"/>
      </rPr>
      <t xml:space="preserve">순항 편대 종료 </t>
    </r>
    <r>
      <rPr>
        <sz val="10"/>
        <rFont val="Malgun Gothic"/>
        <family val="0"/>
        <charset val="1"/>
      </rPr>
      <t xml:space="preserve">(IMC)</t>
    </r>
  </si>
  <si>
    <t xml:space="preserve">Cruise Cell Termination (IMC)</t>
  </si>
  <si>
    <r>
      <rPr>
        <sz val="10"/>
        <rFont val="Malgun Gothic"/>
        <family val="0"/>
        <charset val="1"/>
      </rPr>
      <t xml:space="preserve">IMC, </t>
    </r>
    <r>
      <rPr>
        <sz val="10"/>
        <rFont val="Noto Sans CJK SC"/>
        <family val="2"/>
      </rPr>
      <t xml:space="preserve">셀 종료지점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 전</t>
    </r>
  </si>
  <si>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 전 좌 에셜론 → 종료지점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분 침로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고도 유지</t>
    </r>
    <r>
      <rPr>
        <sz val="10"/>
        <rFont val="Malgun Gothic"/>
        <family val="0"/>
        <charset val="1"/>
      </rPr>
      <t xml:space="preserve">(AR CLOSE→A/P ALT HOLD/HDG SEL) → </t>
    </r>
    <r>
      <rPr>
        <sz val="10"/>
        <rFont val="Noto Sans CJK SC"/>
        <family val="2"/>
      </rPr>
      <t xml:space="preserve">엘리먼트별 계단 고도 → 독립 항법</t>
    </r>
  </si>
  <si>
    <t xml:space="preserve">R-47</t>
  </si>
  <si>
    <r>
      <rPr>
        <sz val="10"/>
        <rFont val="Noto Sans CJK SC"/>
        <family val="2"/>
      </rPr>
      <t xml:space="preserve">기상 중단</t>
    </r>
    <r>
      <rPr>
        <sz val="10"/>
        <rFont val="Malgun Gothic"/>
        <family val="0"/>
        <charset val="1"/>
      </rPr>
      <t xml:space="preserve">(Weather Abort) </t>
    </r>
    <r>
      <rPr>
        <sz val="10"/>
        <rFont val="Noto Sans CJK SC"/>
        <family val="2"/>
      </rPr>
      <t xml:space="preserve">절차</t>
    </r>
  </si>
  <si>
    <t xml:space="preserve">Weather Abort Procedures</t>
  </si>
  <si>
    <r>
      <rPr>
        <sz val="10"/>
        <rFont val="Noto Sans CJK SC"/>
        <family val="2"/>
      </rPr>
      <t xml:space="preserve">수급기 편대장이 기상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구름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난류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시정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으로 편대 급유가 위험하다고 판단할 때</t>
    </r>
  </si>
  <si>
    <r>
      <rPr>
        <sz val="10"/>
        <rFont val="Noto Sans CJK SC"/>
        <family val="2"/>
      </rPr>
      <t xml:space="preserve">기상 회피 시도 → 위험 판단 시 </t>
    </r>
    <r>
      <rPr>
        <sz val="10"/>
        <rFont val="Malgun Gothic"/>
        <family val="0"/>
        <charset val="1"/>
      </rPr>
      <t xml:space="preserve">abort </t>
    </r>
    <r>
      <rPr>
        <sz val="10"/>
        <rFont val="Noto Sans CJK SC"/>
        <family val="2"/>
      </rPr>
      <t xml:space="preserve">선언 → 접촉기 </t>
    </r>
    <r>
      <rPr>
        <sz val="10"/>
        <rFont val="Malgun Gothic"/>
        <family val="0"/>
        <charset val="1"/>
      </rPr>
      <t xml:space="preserve">A/R DISC → AR CLOSE → </t>
    </r>
    <r>
      <rPr>
        <sz val="10"/>
        <rFont val="Noto Sans CJK SC"/>
        <family val="2"/>
      </rPr>
      <t xml:space="preserve">정상 종료 절차로 이탈</t>
    </r>
  </si>
  <si>
    <t xml:space="preserve">R-48</t>
  </si>
  <si>
    <t xml:space="preserve">애프터버너 공중급유</t>
  </si>
  <si>
    <t xml:space="preserve">Afterburner Air Refueling</t>
  </si>
  <si>
    <r>
      <rPr>
        <sz val="10"/>
        <rFont val="Noto Sans CJK SC"/>
        <family val="2"/>
      </rPr>
      <t xml:space="preserve">컨택 위치 유지 중 스로틀이 </t>
    </r>
    <r>
      <rPr>
        <sz val="10"/>
        <rFont val="Malgun Gothic"/>
        <family val="0"/>
        <charset val="1"/>
      </rPr>
      <t xml:space="preserve">MIL </t>
    </r>
    <r>
      <rPr>
        <sz val="10"/>
        <rFont val="Noto Sans CJK SC"/>
        <family val="2"/>
      </rPr>
      <t xml:space="preserve">게이트에 도달하려 할 때</t>
    </r>
  </si>
  <si>
    <r>
      <rPr>
        <sz val="10"/>
        <rFont val="Noto Sans CJK SC"/>
        <family val="2"/>
      </rPr>
      <t xml:space="preserve">급유 중 </t>
    </r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금지 — 스로틀 </t>
    </r>
    <r>
      <rPr>
        <sz val="10"/>
        <rFont val="Malgun Gothic"/>
        <family val="0"/>
        <charset val="1"/>
      </rPr>
      <t xml:space="preserve">MIL </t>
    </r>
    <r>
      <rPr>
        <sz val="10"/>
        <rFont val="Noto Sans CJK SC"/>
        <family val="2"/>
      </rPr>
      <t xml:space="preserve">디텐트 이하 유지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추력 부족 시 분리 후 재접근</t>
    </r>
  </si>
  <si>
    <t xml:space="preserve">R-49</t>
  </si>
  <si>
    <t xml:space="preserve">종말접근 픽스에서의 편대 종료</t>
  </si>
  <si>
    <t xml:space="preserve">Cell Termination at Terminal Approach Fix</t>
  </si>
  <si>
    <r>
      <rPr>
        <sz val="10"/>
        <rFont val="Noto Sans CJK SC"/>
        <family val="2"/>
      </rPr>
      <t xml:space="preserve">최종 급유지점 통과 후 목적지 </t>
    </r>
    <r>
      <rPr>
        <sz val="10"/>
        <rFont val="Malgun Gothic"/>
        <family val="0"/>
        <charset val="1"/>
      </rPr>
      <t xml:space="preserve">TACAN </t>
    </r>
    <r>
      <rPr>
        <sz val="10"/>
        <rFont val="Noto Sans CJK SC"/>
        <family val="2"/>
      </rPr>
      <t xml:space="preserve">록온 확보 시</t>
    </r>
  </si>
  <si>
    <r>
      <rPr>
        <sz val="10"/>
        <rFont val="Noto Sans CJK SC"/>
        <family val="2"/>
      </rPr>
      <t xml:space="preserve">최종 급유지점 → 목적지 </t>
    </r>
    <r>
      <rPr>
        <sz val="10"/>
        <rFont val="Malgun Gothic"/>
        <family val="0"/>
        <charset val="1"/>
      </rPr>
      <t xml:space="preserve">TACAN </t>
    </r>
    <r>
      <rPr>
        <sz val="10"/>
        <rFont val="Noto Sans CJK SC"/>
        <family val="2"/>
      </rPr>
      <t xml:space="preserve">세팅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록온 → 탱커 이탈 → </t>
    </r>
    <r>
      <rPr>
        <sz val="10"/>
        <rFont val="Malgun Gothic"/>
        <family val="0"/>
        <charset val="1"/>
      </rPr>
      <t xml:space="preserve">ATC </t>
    </r>
    <r>
      <rPr>
        <sz val="10"/>
        <rFont val="Noto Sans CJK SC"/>
        <family val="2"/>
      </rPr>
      <t xml:space="preserve">접근 요청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항로 하강 → 침투</t>
    </r>
  </si>
  <si>
    <t xml:space="preserve">R-50</t>
  </si>
  <si>
    <t xml:space="preserve">엘리먼트 침투</t>
  </si>
  <si>
    <t xml:space="preserve">Element Penetration</t>
  </si>
  <si>
    <r>
      <rPr>
        <sz val="10"/>
        <rFont val="Noto Sans CJK SC"/>
        <family val="2"/>
      </rPr>
      <t xml:space="preserve">급유 후 연료부족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비상 등으로 신속한 회수가 필요할 때</t>
    </r>
  </si>
  <si>
    <r>
      <rPr>
        <sz val="10"/>
        <rFont val="Noto Sans CJK SC"/>
        <family val="2"/>
      </rPr>
      <t xml:space="preserve">신속 회수 판단 → 침투 속도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강하율 지정 → 탱커 이탈 → </t>
    </r>
    <r>
      <rPr>
        <sz val="10"/>
        <rFont val="Malgun Gothic"/>
        <family val="0"/>
        <charset val="1"/>
      </rPr>
      <t xml:space="preserve">VFR </t>
    </r>
    <r>
      <rPr>
        <sz val="10"/>
        <rFont val="Noto Sans CJK SC"/>
        <family val="2"/>
      </rPr>
      <t xml:space="preserve">이니셜 진입 → 착륙</t>
    </r>
  </si>
  <si>
    <t xml:space="preserve">8-32</t>
  </si>
  <si>
    <t xml:space="preserve">R-51</t>
  </si>
  <si>
    <r>
      <rPr>
        <sz val="10"/>
        <rFont val="Noto Sans CJK SC"/>
        <family val="2"/>
      </rPr>
      <t xml:space="preserve">수급기 레이더 재합류 절차 </t>
    </r>
    <r>
      <rPr>
        <sz val="10"/>
        <rFont val="Malgun Gothic"/>
        <family val="0"/>
        <charset val="1"/>
      </rPr>
      <t xml:space="preserve">(IMC)</t>
    </r>
  </si>
  <si>
    <t xml:space="preserve">Receiver Radar Rejoin Procedures (IMC)</t>
  </si>
  <si>
    <r>
      <rPr>
        <sz val="10"/>
        <rFont val="Malgun Gothic"/>
        <family val="0"/>
        <charset val="1"/>
      </rPr>
      <t xml:space="preserve">IMC </t>
    </r>
    <r>
      <rPr>
        <sz val="10"/>
        <rFont val="Noto Sans CJK SC"/>
        <family val="2"/>
      </rPr>
      <t xml:space="preserve">셀 종료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계단 고도 분리 후 편대 재합류가 필요할 때</t>
    </r>
  </si>
  <si>
    <r>
      <rPr>
        <sz val="10"/>
        <rFont val="Noto Sans CJK SC"/>
        <family val="2"/>
      </rPr>
      <t xml:space="preserve">배정 고도 유지 → 동시 좌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도 → </t>
    </r>
    <r>
      <rPr>
        <sz val="10"/>
        <rFont val="Malgun Gothic"/>
        <family val="0"/>
        <charset val="1"/>
      </rPr>
      <t xml:space="preserve">1/2/3</t>
    </r>
    <r>
      <rPr>
        <sz val="10"/>
        <rFont val="Noto Sans CJK SC"/>
        <family val="2"/>
      </rPr>
      <t xml:space="preserve">분 후 원 침로 → </t>
    </r>
    <r>
      <rPr>
        <sz val="10"/>
        <rFont val="Malgun Gothic"/>
        <family val="0"/>
        <charset val="1"/>
      </rPr>
      <t xml:space="preserve">RF NORM → FCR/HSD</t>
    </r>
    <r>
      <rPr>
        <sz val="10"/>
        <rFont val="Noto Sans CJK SC"/>
        <family val="2"/>
      </rPr>
      <t xml:space="preserve">로 리더 탐지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재합류</t>
    </r>
  </si>
  <si>
    <t xml:space="preserve">R-52</t>
  </si>
  <si>
    <t xml:space="preserve">무장 안전점검</t>
  </si>
  <si>
    <t xml:space="preserve">Armament Safety Check</t>
  </si>
  <si>
    <r>
      <rPr>
        <sz val="10"/>
        <rFont val="Noto Sans CJK SC"/>
        <family val="2"/>
      </rPr>
      <t xml:space="preserve">탱커 시각 접촉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관측위치 진입 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전방발사 무장 탑재 시 필수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</si>
  <si>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MASTER ARM OFF/SIM → LASER ARM OFF → SMS safe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CMDS STBY/</t>
    </r>
    <r>
      <rPr>
        <sz val="10"/>
        <rFont val="Noto Sans CJK SC"/>
        <family val="2"/>
      </rPr>
      <t xml:space="preserve">필요 설정</t>
    </r>
  </si>
  <si>
    <t xml:space="preserve">8-34</t>
  </si>
  <si>
    <t xml:space="preserve">R-53</t>
  </si>
  <si>
    <r>
      <rPr>
        <sz val="10"/>
        <rFont val="Noto Sans CJK SC"/>
        <family val="2"/>
      </rPr>
      <t xml:space="preserve">프리컨택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정상 공중급유 체크리스트</t>
    </r>
    <r>
      <rPr>
        <sz val="10"/>
        <rFont val="Malgun Gothic"/>
        <family val="0"/>
        <charset val="1"/>
      </rPr>
      <t xml:space="preserve">)</t>
    </r>
  </si>
  <si>
    <t xml:space="preserve">Precontact (Normal Air Refueling Checklist)</t>
  </si>
  <si>
    <r>
      <rPr>
        <sz val="10"/>
        <rFont val="Noto Sans CJK SC"/>
        <family val="2"/>
      </rPr>
      <t xml:space="preserve">관측위치 또는 탱커 </t>
    </r>
    <r>
      <rPr>
        <sz val="10"/>
        <rFont val="Malgun Gothic"/>
        <family val="0"/>
        <charset val="1"/>
      </rPr>
      <t xml:space="preserve">1NM </t>
    </r>
    <r>
      <rPr>
        <sz val="10"/>
        <rFont val="Noto Sans CJK SC"/>
        <family val="2"/>
      </rPr>
      <t xml:space="preserve">트레일 도달 전</t>
    </r>
  </si>
  <si>
    <r>
      <rPr>
        <sz val="10"/>
        <rFont val="Malgun Gothic"/>
        <family val="0"/>
        <charset val="1"/>
      </rPr>
      <t xml:space="preserve">TACAN </t>
    </r>
    <r>
      <rPr>
        <sz val="10"/>
        <rFont val="Noto Sans CJK SC"/>
        <family val="2"/>
      </rPr>
      <t xml:space="preserve">탱커 채널 → </t>
    </r>
    <r>
      <rPr>
        <sz val="10"/>
        <rFont val="Malgun Gothic"/>
        <family val="0"/>
        <charset val="1"/>
      </rPr>
      <t xml:space="preserve">RF SILENT → HOT MIC → (</t>
    </r>
    <r>
      <rPr>
        <sz val="10"/>
        <rFont val="Noto Sans CJK SC"/>
        <family val="2"/>
      </rPr>
      <t xml:space="preserve">야간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외부등 </t>
    </r>
    <r>
      <rPr>
        <sz val="10"/>
        <rFont val="Malgun Gothic"/>
        <family val="0"/>
        <charset val="1"/>
      </rPr>
      <t xml:space="preserve">DIM/STEADY·Anti-Coll OFF → AIR REFUEL OPEN → RDY </t>
    </r>
    <r>
      <rPr>
        <sz val="10"/>
        <rFont val="Noto Sans CJK SC"/>
        <family val="2"/>
      </rPr>
      <t xml:space="preserve">점등 → </t>
    </r>
    <r>
      <rPr>
        <sz val="10"/>
        <rFont val="Malgun Gothic"/>
        <family val="0"/>
        <charset val="1"/>
      </rPr>
      <t xml:space="preserve">BNGO HUD</t>
    </r>
  </si>
  <si>
    <t xml:space="preserve">R-54</t>
  </si>
  <si>
    <r>
      <rPr>
        <sz val="10"/>
        <rFont val="Noto Sans CJK SC"/>
        <family val="2"/>
      </rPr>
      <t xml:space="preserve">컨택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정상 공중급유 체크리스트</t>
    </r>
    <r>
      <rPr>
        <sz val="10"/>
        <rFont val="Malgun Gothic"/>
        <family val="0"/>
        <charset val="1"/>
      </rPr>
      <t xml:space="preserve">)</t>
    </r>
  </si>
  <si>
    <t xml:space="preserve">Contact (Normal Air Refueling Checklist)</t>
  </si>
  <si>
    <r>
      <rPr>
        <sz val="10"/>
        <rFont val="Noto Sans CJK SC"/>
        <family val="2"/>
      </rPr>
      <t xml:space="preserve">붐 오퍼레이터 </t>
    </r>
    <r>
      <rPr>
        <sz val="10"/>
        <rFont val="Malgun Gothic"/>
        <family val="0"/>
        <charset val="1"/>
      </rPr>
      <t xml:space="preserve">'Contact' </t>
    </r>
    <r>
      <rPr>
        <sz val="10"/>
        <rFont val="Noto Sans CJK SC"/>
        <family val="2"/>
      </rPr>
      <t xml:space="preserve">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붐 삽입 시</t>
    </r>
  </si>
  <si>
    <r>
      <rPr>
        <sz val="10"/>
        <rFont val="Malgun Gothic"/>
        <family val="0"/>
        <charset val="1"/>
      </rPr>
      <t xml:space="preserve">AR/NWS </t>
    </r>
    <r>
      <rPr>
        <sz val="10"/>
        <rFont val="Noto Sans CJK SC"/>
        <family val="2"/>
      </rPr>
      <t xml:space="preserve">점등 → </t>
    </r>
    <r>
      <rPr>
        <sz val="10"/>
        <rFont val="Malgun Gothic"/>
        <family val="0"/>
        <charset val="1"/>
      </rPr>
      <t xml:space="preserve">'Contact' → HUD/BNGO/</t>
    </r>
    <r>
      <rPr>
        <sz val="10"/>
        <rFont val="Noto Sans CJK SC"/>
        <family val="2"/>
      </rPr>
      <t xml:space="preserve">연료량계로 전달 감시 → 위치 유지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한 축씩 수정</t>
    </r>
    <r>
      <rPr>
        <sz val="10"/>
        <rFont val="Malgun Gothic"/>
        <family val="0"/>
        <charset val="1"/>
      </rPr>
      <t xml:space="preserve">)</t>
    </r>
  </si>
  <si>
    <t xml:space="preserve">R-55</t>
  </si>
  <si>
    <r>
      <rPr>
        <sz val="10"/>
        <rFont val="Noto Sans CJK SC"/>
        <family val="2"/>
      </rPr>
      <t xml:space="preserve">디스커넥트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정상 공중급유 체크리스트</t>
    </r>
    <r>
      <rPr>
        <sz val="10"/>
        <rFont val="Malgun Gothic"/>
        <family val="0"/>
        <charset val="1"/>
      </rPr>
      <t xml:space="preserve">)</t>
    </r>
  </si>
  <si>
    <t xml:space="preserve">Disconnect (Normal Air Refueling Checklist)</t>
  </si>
  <si>
    <r>
      <rPr>
        <sz val="10"/>
        <rFont val="Noto Sans CJK SC"/>
        <family val="2"/>
      </rPr>
      <t xml:space="preserve">요청 연료량 도달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만재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급유 종료 결정 시</t>
    </r>
  </si>
  <si>
    <r>
      <rPr>
        <sz val="10"/>
        <rFont val="Malgun Gothic"/>
        <family val="0"/>
        <charset val="1"/>
      </rPr>
      <t xml:space="preserve">A/R DISC('S') → </t>
    </r>
    <r>
      <rPr>
        <sz val="10"/>
        <rFont val="Noto Sans CJK SC"/>
        <family val="2"/>
      </rPr>
      <t xml:space="preserve">상태등 소등 → 연료량 확인 → </t>
    </r>
    <r>
      <rPr>
        <sz val="10"/>
        <rFont val="Malgun Gothic"/>
        <family val="0"/>
        <charset val="1"/>
      </rPr>
      <t xml:space="preserve">MASTER ARM/SMS/CMDS </t>
    </r>
    <r>
      <rPr>
        <sz val="10"/>
        <rFont val="Noto Sans CJK SC"/>
        <family val="2"/>
      </rPr>
      <t xml:space="preserve">복구 → </t>
    </r>
    <r>
      <rPr>
        <sz val="10"/>
        <rFont val="Malgun Gothic"/>
        <family val="0"/>
        <charset val="1"/>
      </rPr>
      <t xml:space="preserve">TACAN </t>
    </r>
    <r>
      <rPr>
        <sz val="10"/>
        <rFont val="Noto Sans CJK SC"/>
        <family val="2"/>
      </rPr>
      <t xml:space="preserve">임무채널 → </t>
    </r>
    <r>
      <rPr>
        <sz val="10"/>
        <rFont val="Malgun Gothic"/>
        <family val="0"/>
        <charset val="1"/>
      </rPr>
      <t xml:space="preserve">RF NORM·RDR ALT ON → LASER ARM → </t>
    </r>
    <r>
      <rPr>
        <sz val="10"/>
        <rFont val="Noto Sans CJK SC"/>
        <family val="2"/>
      </rPr>
      <t xml:space="preserve">외부등</t>
    </r>
  </si>
  <si>
    <t xml:space="preserve">R-56</t>
  </si>
  <si>
    <r>
      <rPr>
        <sz val="10"/>
        <rFont val="Noto Sans CJK SC"/>
        <family val="2"/>
      </rPr>
      <t xml:space="preserve">급유 후 절차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정상 공중급유 체크리스트</t>
    </r>
    <r>
      <rPr>
        <sz val="10"/>
        <rFont val="Malgun Gothic"/>
        <family val="0"/>
        <charset val="1"/>
      </rPr>
      <t xml:space="preserve">)</t>
    </r>
  </si>
  <si>
    <t xml:space="preserve">Post Air Refueling (Normal Air Refueling Checklist)</t>
  </si>
  <si>
    <r>
      <rPr>
        <sz val="10"/>
        <rFont val="Noto Sans CJK SC"/>
        <family val="2"/>
      </rPr>
      <t xml:space="preserve">디스커넥트 완료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탱커 후방으로 이탈한 직후</t>
    </r>
  </si>
  <si>
    <r>
      <rPr>
        <sz val="10"/>
        <rFont val="Malgun Gothic"/>
        <family val="0"/>
        <charset val="1"/>
      </rPr>
      <t xml:space="preserve">AIR REFUEL CLOSE → RDY </t>
    </r>
    <r>
      <rPr>
        <sz val="10"/>
        <rFont val="Noto Sans CJK SC"/>
        <family val="2"/>
      </rPr>
      <t xml:space="preserve">소등 → </t>
    </r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정상 게인</t>
    </r>
    <r>
      <rPr>
        <sz val="10"/>
        <rFont val="Malgun Gothic"/>
        <family val="0"/>
        <charset val="1"/>
      </rPr>
      <t xml:space="preserve">·A/P </t>
    </r>
    <r>
      <rPr>
        <sz val="10"/>
        <rFont val="Noto Sans CJK SC"/>
        <family val="2"/>
      </rPr>
      <t xml:space="preserve">가능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외부탱크 전달 복구</t>
    </r>
  </si>
  <si>
    <t xml:space="preserve">R-57</t>
  </si>
  <si>
    <r>
      <rPr>
        <sz val="10"/>
        <rFont val="Noto Sans CJK SC"/>
        <family val="2"/>
      </rPr>
      <t xml:space="preserve">브레이크어웨이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비상 이탈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</si>
  <si>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Breakaway Procedures</t>
  </si>
  <si>
    <r>
      <rPr>
        <sz val="10"/>
        <rFont val="Noto Sans CJK SC"/>
        <family val="2"/>
      </rPr>
      <t xml:space="preserve">탱커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수급기 어느 쪽이든 </t>
    </r>
    <r>
      <rPr>
        <sz val="10"/>
        <rFont val="Malgun Gothic"/>
        <family val="0"/>
        <charset val="1"/>
      </rPr>
      <t xml:space="preserve">'breakaway' 3</t>
    </r>
    <r>
      <rPr>
        <sz val="10"/>
        <rFont val="Noto Sans CJK SC"/>
        <family val="2"/>
      </rPr>
      <t xml:space="preserve">회 호출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접근 오버런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급유 중 엔진 이상 인지 시</t>
    </r>
  </si>
  <si>
    <r>
      <rPr>
        <sz val="10"/>
        <rFont val="Malgun Gothic"/>
        <family val="0"/>
        <charset val="1"/>
      </rPr>
      <t xml:space="preserve">'BREAKAWAY x3' → A/R DISC('S') →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IDLE·</t>
    </r>
    <r>
      <rPr>
        <sz val="10"/>
        <rFont val="Noto Sans CJK SC"/>
        <family val="2"/>
      </rPr>
      <t xml:space="preserve">스피드브레이크 → 강하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후방 이탈 → 탱커 전체 시야 확보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계기 감시</t>
    </r>
  </si>
  <si>
    <t xml:space="preserve">8-35</t>
  </si>
  <si>
    <t xml:space="preserve">R-58</t>
  </si>
  <si>
    <r>
      <rPr>
        <sz val="10"/>
        <rFont val="Noto Sans CJK SC"/>
        <family val="2"/>
      </rPr>
      <t xml:space="preserve">계통 이상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일반</t>
    </r>
    <r>
      <rPr>
        <sz val="10"/>
        <rFont val="Malgun Gothic"/>
        <family val="0"/>
        <charset val="1"/>
      </rPr>
      <t xml:space="preserve">)</t>
    </r>
  </si>
  <si>
    <t xml:space="preserve">System Malfunctions (General)</t>
  </si>
  <si>
    <r>
      <rPr>
        <sz val="10"/>
        <rFont val="Noto Sans CJK SC"/>
        <family val="2"/>
      </rPr>
      <t xml:space="preserve">급유 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중 </t>
    </r>
    <r>
      <rPr>
        <sz val="10"/>
        <rFont val="Malgun Gothic"/>
        <family val="0"/>
        <charset val="1"/>
      </rPr>
      <t xml:space="preserve">FLCS·</t>
    </r>
    <r>
      <rPr>
        <sz val="10"/>
        <rFont val="Noto Sans CJK SC"/>
        <family val="2"/>
      </rPr>
      <t xml:space="preserve">유압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엔진 등 계통 이상 발생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연료 사이포닝 관측 시</t>
    </r>
  </si>
  <si>
    <r>
      <rPr>
        <sz val="10"/>
        <rFont val="Noto Sans CJK SC"/>
        <family val="2"/>
      </rPr>
      <t xml:space="preserve">계통 이상 → 연료 비상 아니면 급유 중단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사이포닝 통보 → 전달 중지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조종사 재량</t>
    </r>
  </si>
  <si>
    <t xml:space="preserve">R-59</t>
  </si>
  <si>
    <t xml:space="preserve">슬립웨이 도어 개방 불능</t>
  </si>
  <si>
    <t xml:space="preserve">Slipway Door Will Not Open</t>
  </si>
  <si>
    <r>
      <rPr>
        <sz val="10"/>
        <rFont val="Malgun Gothic"/>
        <family val="0"/>
        <charset val="1"/>
      </rPr>
      <t xml:space="preserve">AIR REFUEL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OPEN </t>
    </r>
    <r>
      <rPr>
        <sz val="10"/>
        <rFont val="Noto Sans CJK SC"/>
        <family val="2"/>
      </rPr>
      <t xml:space="preserve">후 </t>
    </r>
    <r>
      <rPr>
        <sz val="10"/>
        <rFont val="Malgun Gothic"/>
        <family val="0"/>
        <charset val="1"/>
      </rPr>
      <t xml:space="preserve">RDY </t>
    </r>
    <r>
      <rPr>
        <sz val="10"/>
        <rFont val="Noto Sans CJK SC"/>
        <family val="2"/>
      </rPr>
      <t xml:space="preserve">등이 점등되지 않고 </t>
    </r>
    <r>
      <rPr>
        <sz val="10"/>
        <rFont val="Malgun Gothic"/>
        <family val="0"/>
        <charset val="1"/>
      </rPr>
      <t xml:space="preserve">HYD/OIL PRESS </t>
    </r>
    <r>
      <rPr>
        <sz val="10"/>
        <rFont val="Noto Sans CJK SC"/>
        <family val="2"/>
      </rPr>
      <t xml:space="preserve">등 또는 </t>
    </r>
    <r>
      <rPr>
        <sz val="10"/>
        <rFont val="Malgun Gothic"/>
        <family val="0"/>
        <charset val="1"/>
      </rPr>
      <t xml:space="preserve">HYD B </t>
    </r>
    <r>
      <rPr>
        <sz val="10"/>
        <rFont val="Noto Sans CJK SC"/>
        <family val="2"/>
      </rPr>
      <t xml:space="preserve">압력 저하가 있을 때</t>
    </r>
  </si>
  <si>
    <r>
      <rPr>
        <sz val="10"/>
        <rFont val="Malgun Gothic"/>
        <family val="0"/>
        <charset val="1"/>
      </rPr>
      <t xml:space="preserve">AR OPEN → RDY </t>
    </r>
    <r>
      <rPr>
        <sz val="10"/>
        <rFont val="Noto Sans CJK SC"/>
        <family val="2"/>
      </rPr>
      <t xml:space="preserve">미점등 → </t>
    </r>
    <r>
      <rPr>
        <sz val="10"/>
        <rFont val="Malgun Gothic"/>
        <family val="0"/>
        <charset val="1"/>
      </rPr>
      <t xml:space="preserve">HYD B </t>
    </r>
    <r>
      <rPr>
        <sz val="10"/>
        <rFont val="Noto Sans CJK SC"/>
        <family val="2"/>
      </rPr>
      <t xml:space="preserve">압력 확인 → 상실 시 급유 불가 → </t>
    </r>
    <r>
      <rPr>
        <sz val="10"/>
        <rFont val="Malgun Gothic"/>
        <family val="0"/>
        <charset val="1"/>
      </rPr>
      <t xml:space="preserve">AR CLOSE → </t>
    </r>
    <r>
      <rPr>
        <sz val="10"/>
        <rFont val="Noto Sans CJK SC"/>
        <family val="2"/>
      </rPr>
      <t xml:space="preserve">연료 기준 </t>
    </r>
    <r>
      <rPr>
        <sz val="10"/>
        <rFont val="Malgun Gothic"/>
        <family val="0"/>
        <charset val="1"/>
      </rPr>
      <t xml:space="preserve">RTB/</t>
    </r>
    <r>
      <rPr>
        <sz val="10"/>
        <rFont val="Noto Sans CJK SC"/>
        <family val="2"/>
      </rPr>
      <t xml:space="preserve">다이버트</t>
    </r>
  </si>
  <si>
    <t xml:space="preserve">R-60</t>
  </si>
  <si>
    <t xml:space="preserve">슬립웨이 도어 폐쇄 불능</t>
  </si>
  <si>
    <t xml:space="preserve">Slipway Door Will Not Close</t>
  </si>
  <si>
    <r>
      <rPr>
        <sz val="10"/>
        <rFont val="Malgun Gothic"/>
        <family val="0"/>
        <charset val="1"/>
      </rPr>
      <t xml:space="preserve">AIR REFUEL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CLOSE </t>
    </r>
    <r>
      <rPr>
        <sz val="10"/>
        <rFont val="Noto Sans CJK SC"/>
        <family val="2"/>
      </rPr>
      <t xml:space="preserve">후에도 도어가 닫히지 않거나 상태등이 비정상 지시할 때</t>
    </r>
  </si>
  <si>
    <r>
      <rPr>
        <sz val="10"/>
        <rFont val="Malgun Gothic"/>
        <family val="0"/>
        <charset val="1"/>
      </rPr>
      <t xml:space="preserve">AR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CLOSE(</t>
    </r>
    <r>
      <rPr>
        <sz val="10"/>
        <rFont val="Noto Sans CJK SC"/>
        <family val="2"/>
      </rPr>
      <t xml:space="preserve">유지</t>
    </r>
    <r>
      <rPr>
        <sz val="10"/>
        <rFont val="Malgun Gothic"/>
        <family val="0"/>
        <charset val="1"/>
      </rPr>
      <t xml:space="preserve">) → FLCS </t>
    </r>
    <r>
      <rPr>
        <sz val="10"/>
        <rFont val="Noto Sans CJK SC"/>
        <family val="2"/>
      </rPr>
      <t xml:space="preserve">정상 게인 복구 → 상태등 이상 인지 → 속도 </t>
    </r>
    <r>
      <rPr>
        <sz val="10"/>
        <rFont val="Malgun Gothic"/>
        <family val="0"/>
        <charset val="1"/>
      </rPr>
      <t xml:space="preserve">400kt </t>
    </r>
    <r>
      <rPr>
        <sz val="10"/>
        <rFont val="Noto Sans CJK SC"/>
        <family val="2"/>
      </rPr>
      <t xml:space="preserve">이하 유지</t>
    </r>
  </si>
  <si>
    <t xml:space="preserve">R-61</t>
  </si>
  <si>
    <r>
      <rPr>
        <sz val="10"/>
        <rFont val="Noto Sans CJK SC"/>
        <family val="2"/>
      </rPr>
      <t xml:space="preserve">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리셉터클 래칭 불능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브루트포스 디스커넥트 개요</t>
    </r>
    <r>
      <rPr>
        <sz val="10"/>
        <rFont val="Malgun Gothic"/>
        <family val="0"/>
        <charset val="1"/>
      </rPr>
      <t xml:space="preserve">)</t>
    </r>
  </si>
  <si>
    <t xml:space="preserve">Inoperative Boom/Receptacle Latching (Brute Force Disconnect - Overview)</t>
  </si>
  <si>
    <r>
      <rPr>
        <sz val="10"/>
        <rFont val="Noto Sans CJK SC"/>
        <family val="2"/>
      </rPr>
      <t xml:space="preserve">정상 접촉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래칭이 반복 실패하고 실제 연료 비상</t>
    </r>
    <r>
      <rPr>
        <sz val="10"/>
        <rFont val="Malgun Gothic"/>
        <family val="0"/>
        <charset val="1"/>
      </rPr>
      <t xml:space="preserve">(BINGO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일 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</si>
  <si>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붐 오퍼레이터에 수동 압력급유 필요 통보 → 브리핑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조율 → 감시하며 급유 → 디스커넥트 사이클 조율</t>
    </r>
  </si>
  <si>
    <t xml:space="preserve">8-36</t>
  </si>
  <si>
    <t xml:space="preserve">R-62</t>
  </si>
  <si>
    <r>
      <rPr>
        <sz val="10"/>
        <rFont val="Malgun Gothic"/>
        <family val="0"/>
        <charset val="1"/>
      </rPr>
      <t xml:space="preserve">KC-10/KDC-10 </t>
    </r>
    <r>
      <rPr>
        <sz val="10"/>
        <rFont val="Noto Sans CJK SC"/>
        <family val="2"/>
      </rPr>
      <t xml:space="preserve">붐 비행조종계통</t>
    </r>
    <r>
      <rPr>
        <sz val="10"/>
        <rFont val="Malgun Gothic"/>
        <family val="0"/>
        <charset val="1"/>
      </rPr>
      <t xml:space="preserve">(FLCS) </t>
    </r>
    <r>
      <rPr>
        <sz val="10"/>
        <rFont val="Noto Sans CJK SC"/>
        <family val="2"/>
      </rPr>
      <t xml:space="preserve">고장</t>
    </r>
  </si>
  <si>
    <t xml:space="preserve">KC-10/KDC-10 Boom FLCS Failure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</si>
  <si>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붐 </t>
    </r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고장 통보 → 붐 오퍼레이터 허가 전 디스커넥트 금지 → 지시 위치에서 분리</t>
    </r>
  </si>
  <si>
    <t xml:space="preserve">R-63</t>
  </si>
  <si>
    <r>
      <rPr>
        <sz val="10"/>
        <rFont val="Noto Sans CJK SC"/>
        <family val="2"/>
      </rPr>
      <t xml:space="preserve">비의도적</t>
    </r>
    <r>
      <rPr>
        <sz val="10"/>
        <rFont val="Malgun Gothic"/>
        <family val="0"/>
        <charset val="1"/>
      </rPr>
      <t xml:space="preserve">(Inadvertent) </t>
    </r>
    <r>
      <rPr>
        <sz val="10"/>
        <rFont val="Noto Sans CJK SC"/>
        <family val="2"/>
      </rPr>
      <t xml:space="preserve">브루트포스 디스커넥트</t>
    </r>
  </si>
  <si>
    <t xml:space="preserve">Inadvertent Disconnect (Brute Force)</t>
  </si>
  <si>
    <t xml:space="preserve">컨택 중 후방 한계 초과로 붐이 리셉터클에서 강제로 빠졌을 때</t>
  </si>
  <si>
    <r>
      <rPr>
        <sz val="10"/>
        <rFont val="Noto Sans CJK SC"/>
        <family val="2"/>
      </rPr>
      <t xml:space="preserve">급격 후퇴로 강제 분리</t>
    </r>
    <r>
      <rPr>
        <sz val="10"/>
        <rFont val="Malgun Gothic"/>
        <family val="0"/>
        <charset val="1"/>
      </rPr>
      <t xml:space="preserve">(DISC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연료 비상 아니면 급유 종료</t>
    </r>
    <r>
      <rPr>
        <sz val="10"/>
        <rFont val="Malgun Gothic"/>
        <family val="0"/>
        <charset val="1"/>
      </rPr>
      <t xml:space="preserve">·AR CLOSE / </t>
    </r>
    <r>
      <rPr>
        <sz val="10"/>
        <rFont val="Noto Sans CJK SC"/>
        <family val="2"/>
      </rPr>
      <t xml:space="preserve">비상이면 프리컨택 복귀 재접촉</t>
    </r>
  </si>
  <si>
    <t xml:space="preserve">R-64</t>
  </si>
  <si>
    <r>
      <rPr>
        <sz val="10"/>
        <rFont val="Noto Sans CJK SC"/>
        <family val="2"/>
      </rPr>
      <t xml:space="preserve">제어된 장력</t>
    </r>
    <r>
      <rPr>
        <sz val="10"/>
        <rFont val="Malgun Gothic"/>
        <family val="0"/>
        <charset val="1"/>
      </rPr>
      <t xml:space="preserve">(Controlled Tension) </t>
    </r>
    <r>
      <rPr>
        <sz val="10"/>
        <rFont val="Noto Sans CJK SC"/>
        <family val="2"/>
      </rPr>
      <t xml:space="preserve">브루트포스 디스커넥트</t>
    </r>
  </si>
  <si>
    <t xml:space="preserve">Controlled Tension Disconnect (Brute Force)</t>
  </si>
  <si>
    <r>
      <rPr>
        <sz val="10"/>
        <rFont val="Malgun Gothic"/>
        <family val="0"/>
        <charset val="1"/>
      </rPr>
      <t xml:space="preserve">A/R DISC·AR </t>
    </r>
    <r>
      <rPr>
        <sz val="10"/>
        <rFont val="Noto Sans CJK SC"/>
        <family val="2"/>
      </rPr>
      <t xml:space="preserve">스위치 리사이클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탱커측 디스커넥트가 모두 실패해 붐이 래치 상태로 남았을 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</si>
  <si>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붐 오퍼레이터 조율 → 컨택 고도 유지 → 점진적 출력 감소로 슬라이드 아웃 → 완전연장 시 장력 분리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급격 스로틀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스피드브레이크 금지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</si>
  <si>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0"/>
        <rFont val="Malgun Gothic"/>
        <family val="0"/>
        <charset val="1"/>
      </rPr>
      <t xml:space="preserve">■ P10  </t>
    </r>
    <r>
      <rPr>
        <b val="true"/>
        <sz val="10"/>
        <rFont val="Noto Sans CJK SC"/>
        <family val="2"/>
      </rPr>
      <t xml:space="preserve">전투진입 준비 </t>
    </r>
    <r>
      <rPr>
        <b val="true"/>
        <sz val="10"/>
        <rFont val="Malgun Gothic"/>
        <family val="0"/>
        <charset val="1"/>
      </rPr>
      <t xml:space="preserve">(Fence-In)  (Fence-In) — </t>
    </r>
    <r>
      <rPr>
        <b val="true"/>
        <sz val="10"/>
        <rFont val="Noto Sans CJK SC"/>
        <family val="2"/>
      </rPr>
      <t xml:space="preserve">교전 전 센서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방어체계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무장 최종 셋업</t>
    </r>
    <r>
      <rPr>
        <b val="true"/>
        <sz val="10"/>
        <rFont val="Malgun Gothic"/>
        <family val="0"/>
        <charset val="1"/>
      </rPr>
      <t xml:space="preserve">(MASTER ARM, CMDS, ECM, </t>
    </r>
    <r>
      <rPr>
        <b val="true"/>
        <sz val="10"/>
        <rFont val="Noto Sans CJK SC"/>
        <family val="2"/>
      </rPr>
      <t xml:space="preserve">레이더 모드</t>
    </r>
    <r>
      <rPr>
        <b val="true"/>
        <sz val="10"/>
        <rFont val="Malgun Gothic"/>
        <family val="0"/>
        <charset val="1"/>
      </rPr>
      <t xml:space="preserve">).</t>
    </r>
  </si>
  <si>
    <t xml:space="preserve">P10</t>
  </si>
  <si>
    <r>
      <rPr>
        <sz val="10"/>
        <rFont val="Noto Sans CJK SC"/>
        <family val="2"/>
      </rPr>
      <t xml:space="preserve">전투진입 준비 </t>
    </r>
    <r>
      <rPr>
        <sz val="10"/>
        <rFont val="Malgun Gothic"/>
        <family val="0"/>
        <charset val="1"/>
      </rPr>
      <t xml:space="preserve">(Fence-In)</t>
    </r>
  </si>
  <si>
    <t xml:space="preserve">SD-01</t>
  </si>
  <si>
    <r>
      <rPr>
        <sz val="10"/>
        <rFont val="Malgun Gothic"/>
        <family val="0"/>
        <charset val="1"/>
      </rPr>
      <t xml:space="preserve">Run Silent (RF) </t>
    </r>
    <r>
      <rPr>
        <sz val="10"/>
        <rFont val="Noto Sans CJK SC"/>
        <family val="2"/>
      </rPr>
      <t xml:space="preserve">스위치 운용</t>
    </r>
  </si>
  <si>
    <t xml:space="preserve">Run Silent (RF) Switch Operation</t>
  </si>
  <si>
    <r>
      <rPr>
        <sz val="10"/>
        <rFont val="Noto Sans CJK SC"/>
        <family val="2"/>
      </rPr>
      <t xml:space="preserve">적 방공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전투기 탐지 회피가 필요한 구간 진입</t>
    </r>
    <r>
      <rPr>
        <sz val="10"/>
        <rFont val="Malgun Gothic"/>
        <family val="0"/>
        <charset val="1"/>
      </rPr>
      <t xml:space="preserve">(EMCON </t>
    </r>
    <r>
      <rPr>
        <sz val="10"/>
        <rFont val="Noto Sans CJK SC"/>
        <family val="2"/>
      </rPr>
      <t xml:space="preserve">지시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복귀 시 </t>
    </r>
    <r>
      <rPr>
        <sz val="10"/>
        <rFont val="Malgun Gothic"/>
        <family val="0"/>
        <charset val="1"/>
      </rPr>
      <t xml:space="preserve">NORM</t>
    </r>
  </si>
  <si>
    <r>
      <rPr>
        <sz val="10"/>
        <rFont val="Malgun Gothic"/>
        <family val="0"/>
        <charset val="1"/>
      </rPr>
      <t xml:space="preserve">EMCON </t>
    </r>
    <r>
      <rPr>
        <sz val="10"/>
        <rFont val="Noto Sans CJK SC"/>
        <family val="2"/>
      </rPr>
      <t xml:space="preserve">지시 시 </t>
    </r>
    <r>
      <rPr>
        <sz val="10"/>
        <rFont val="Malgun Gothic"/>
        <family val="0"/>
        <charset val="1"/>
      </rPr>
      <t xml:space="preserve">RF QUIET/SILENT → </t>
    </r>
    <r>
      <rPr>
        <sz val="10"/>
        <rFont val="Noto Sans CJK SC"/>
        <family val="2"/>
      </rPr>
      <t xml:space="preserve">구간 이탈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교전 전 </t>
    </r>
    <r>
      <rPr>
        <sz val="10"/>
        <rFont val="Malgun Gothic"/>
        <family val="0"/>
        <charset val="1"/>
      </rPr>
      <t xml:space="preserve">RF NORM </t>
    </r>
    <r>
      <rPr>
        <sz val="10"/>
        <rFont val="Noto Sans CJK SC"/>
        <family val="2"/>
      </rPr>
      <t xml:space="preserve">복귀 → </t>
    </r>
    <r>
      <rPr>
        <sz val="10"/>
        <rFont val="Malgun Gothic"/>
        <family val="0"/>
        <charset val="1"/>
      </rPr>
      <t xml:space="preserve">FCR/RALT </t>
    </r>
    <r>
      <rPr>
        <sz val="10"/>
        <rFont val="Noto Sans CJK SC"/>
        <family val="2"/>
      </rPr>
      <t xml:space="preserve">방사 상태 확인</t>
    </r>
  </si>
  <si>
    <t xml:space="preserve">1-31</t>
  </si>
  <si>
    <t xml:space="preserve">SD-09</t>
  </si>
  <si>
    <r>
      <rPr>
        <sz val="10"/>
        <rFont val="Noto Sans CJK SC"/>
        <family val="2"/>
      </rPr>
      <t xml:space="preserve">내장 전자전 재밍 장치</t>
    </r>
    <r>
      <rPr>
        <sz val="10"/>
        <rFont val="Malgun Gothic"/>
        <family val="0"/>
        <charset val="1"/>
      </rPr>
      <t xml:space="preserve">(IECM) </t>
    </r>
    <r>
      <rPr>
        <sz val="10"/>
        <rFont val="Noto Sans CJK SC"/>
        <family val="2"/>
      </rPr>
      <t xml:space="preserve">운용</t>
    </r>
  </si>
  <si>
    <t xml:space="preserve">Internal Electronic Countermeasures Set (IECM) Operation</t>
  </si>
  <si>
    <r>
      <rPr>
        <sz val="10"/>
        <rFont val="Malgun Gothic"/>
        <family val="0"/>
        <charset val="1"/>
      </rPr>
      <t xml:space="preserve">Fence-In </t>
    </r>
    <r>
      <rPr>
        <sz val="10"/>
        <rFont val="Noto Sans CJK SC"/>
        <family val="2"/>
      </rPr>
      <t xml:space="preserve">시 </t>
    </r>
    <r>
      <rPr>
        <sz val="10"/>
        <rFont val="Malgun Gothic"/>
        <family val="0"/>
        <charset val="1"/>
      </rPr>
      <t xml:space="preserve">ECM </t>
    </r>
    <r>
      <rPr>
        <sz val="10"/>
        <rFont val="Noto Sans CJK SC"/>
        <family val="2"/>
      </rPr>
      <t xml:space="preserve">전원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대기 설정</t>
    </r>
    <r>
      <rPr>
        <sz val="10"/>
        <rFont val="Malgun Gothic"/>
        <family val="0"/>
        <charset val="1"/>
      </rPr>
      <t xml:space="preserve">, RWR</t>
    </r>
    <r>
      <rPr>
        <sz val="10"/>
        <rFont val="Noto Sans CJK SC"/>
        <family val="2"/>
      </rPr>
      <t xml:space="preserve">에 레이더 유도 위협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추적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락온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표시 시 재밍 활성화</t>
    </r>
  </si>
  <si>
    <r>
      <rPr>
        <sz val="10"/>
        <rFont val="Malgun Gothic"/>
        <family val="0"/>
        <charset val="1"/>
      </rPr>
      <t xml:space="preserve">ECM Jammer OPR → XMIT 1/2(SPJ)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3(Barrage) → Power Control </t>
    </r>
    <r>
      <rPr>
        <sz val="10"/>
        <rFont val="Noto Sans CJK SC"/>
        <family val="2"/>
      </rPr>
      <t xml:space="preserve">버튼 </t>
    </r>
    <r>
      <rPr>
        <sz val="10"/>
        <rFont val="Malgun Gothic"/>
        <family val="0"/>
        <charset val="1"/>
      </rPr>
      <t xml:space="preserve">'S' → CMDS SEMI/AUTO(SPJ)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MAN(Barrage) → CMS AFT </t>
    </r>
    <r>
      <rPr>
        <sz val="10"/>
        <rFont val="Noto Sans CJK SC"/>
        <family val="2"/>
      </rPr>
      <t xml:space="preserve">활성 </t>
    </r>
    <r>
      <rPr>
        <sz val="10"/>
        <rFont val="Malgun Gothic"/>
        <family val="0"/>
        <charset val="1"/>
      </rPr>
      <t xml:space="preserve">/ CMS RIGHT </t>
    </r>
    <r>
      <rPr>
        <sz val="10"/>
        <rFont val="Noto Sans CJK SC"/>
        <family val="2"/>
      </rPr>
      <t xml:space="preserve">대기 → </t>
    </r>
    <r>
      <rPr>
        <sz val="10"/>
        <rFont val="Malgun Gothic"/>
        <family val="0"/>
        <charset val="1"/>
      </rPr>
      <t xml:space="preserve">RF NORM </t>
    </r>
    <r>
      <rPr>
        <sz val="10"/>
        <rFont val="Noto Sans CJK SC"/>
        <family val="2"/>
      </rPr>
      <t xml:space="preserve">확인</t>
    </r>
  </si>
  <si>
    <t xml:space="preserve">1-210</t>
  </si>
  <si>
    <t xml:space="preserve">IF-13</t>
  </si>
  <si>
    <r>
      <rPr>
        <sz val="10"/>
        <rFont val="Noto Sans CJK SC"/>
        <family val="2"/>
      </rPr>
      <t xml:space="preserve">강하</t>
    </r>
    <r>
      <rPr>
        <sz val="10"/>
        <rFont val="Malgun Gothic"/>
        <family val="0"/>
        <charset val="1"/>
      </rPr>
      <t xml:space="preserve">/TFR </t>
    </r>
    <r>
      <rPr>
        <sz val="10"/>
        <rFont val="Noto Sans CJK SC"/>
        <family val="2"/>
      </rPr>
      <t xml:space="preserve">운용 전 절차</t>
    </r>
  </si>
  <si>
    <t xml:space="preserve">Descent/Before TFR Operations Procedures</t>
  </si>
  <si>
    <r>
      <rPr>
        <sz val="10"/>
        <rFont val="Noto Sans CJK SC"/>
        <family val="2"/>
      </rPr>
      <t xml:space="preserve">표적 지역 접근을 위한 저고도 강하 개시 전</t>
    </r>
    <r>
      <rPr>
        <sz val="10"/>
        <rFont val="Malgun Gothic"/>
        <family val="0"/>
        <charset val="1"/>
      </rPr>
      <t xml:space="preserve">, MSA </t>
    </r>
    <r>
      <rPr>
        <sz val="10"/>
        <rFont val="Noto Sans CJK SC"/>
        <family val="2"/>
      </rPr>
      <t xml:space="preserve">이하 강하 결심 시</t>
    </r>
  </si>
  <si>
    <r>
      <rPr>
        <sz val="10"/>
        <rFont val="Noto Sans CJK SC"/>
        <family val="2"/>
      </rPr>
      <t xml:space="preserve">미구현 — </t>
    </r>
    <r>
      <rPr>
        <sz val="10"/>
        <rFont val="Malgun Gothic"/>
        <family val="0"/>
        <charset val="1"/>
      </rPr>
      <t xml:space="preserve">TFR </t>
    </r>
    <r>
      <rPr>
        <sz val="10"/>
        <rFont val="Noto Sans CJK SC"/>
        <family val="2"/>
      </rPr>
      <t xml:space="preserve">없음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강하 전 </t>
    </r>
    <r>
      <rPr>
        <sz val="10"/>
        <rFont val="Malgun Gothic"/>
        <family val="0"/>
        <charset val="1"/>
      </rPr>
      <t xml:space="preserve">RDR ALT ON + ALOW </t>
    </r>
    <r>
      <rPr>
        <sz val="10"/>
        <rFont val="Noto Sans CJK SC"/>
        <family val="2"/>
      </rPr>
      <t xml:space="preserve">설정만 수행</t>
    </r>
    <r>
      <rPr>
        <sz val="10"/>
        <rFont val="Malgun Gothic"/>
        <family val="0"/>
        <charset val="1"/>
      </rPr>
      <t xml:space="preserve">)</t>
    </r>
  </si>
  <si>
    <t xml:space="preserve">1-358</t>
  </si>
  <si>
    <t xml:space="preserve">AG-09</t>
  </si>
  <si>
    <r>
      <rPr>
        <sz val="10"/>
        <rFont val="Malgun Gothic"/>
        <family val="0"/>
        <charset val="1"/>
      </rPr>
      <t xml:space="preserve">AGM-65D/G </t>
    </r>
    <r>
      <rPr>
        <sz val="10"/>
        <rFont val="Noto Sans CJK SC"/>
        <family val="2"/>
      </rPr>
      <t xml:space="preserve">미사일 보어사이트 절차</t>
    </r>
  </si>
  <si>
    <t xml:space="preserve">AGM-65D/G Missile Boresight Procedures</t>
  </si>
  <si>
    <r>
      <rPr>
        <sz val="10"/>
        <rFont val="Noto Sans CJK SC"/>
        <family val="2"/>
      </rPr>
      <t xml:space="preserve">이륙 후 첫 표적 지역 진입 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시커 냉각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분 완료 후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원거리 명확한 지상 표적 확보 시</t>
    </r>
  </si>
  <si>
    <r>
      <rPr>
        <sz val="10"/>
        <rFont val="Malgun Gothic"/>
        <family val="0"/>
        <charset val="1"/>
      </rPr>
      <t xml:space="preserve">A-G → SMS AG65/PWR/PRE → MASTER ARM SIM → TGP SOI·MAN → Area/Point Track → WPN SOI → </t>
    </r>
    <r>
      <rPr>
        <sz val="10"/>
        <rFont val="Noto Sans CJK SC"/>
        <family val="2"/>
      </rPr>
      <t xml:space="preserve">게이트 슬루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락 → </t>
    </r>
    <r>
      <rPr>
        <sz val="10"/>
        <rFont val="Malgun Gothic"/>
        <family val="0"/>
        <charset val="1"/>
      </rPr>
      <t xml:space="preserve">BSGT → TMS DOWN → MSL STEP </t>
    </r>
    <r>
      <rPr>
        <sz val="10"/>
        <rFont val="Noto Sans CJK SC"/>
        <family val="2"/>
      </rPr>
      <t xml:space="preserve">반복 → </t>
    </r>
    <r>
      <rPr>
        <sz val="10"/>
        <rFont val="Malgun Gothic"/>
        <family val="0"/>
        <charset val="1"/>
      </rPr>
      <t xml:space="preserve">CZ</t>
    </r>
  </si>
  <si>
    <t xml:space="preserve">1-444</t>
  </si>
  <si>
    <t xml:space="preserve">AG-17</t>
  </si>
  <si>
    <r>
      <rPr>
        <sz val="10"/>
        <rFont val="Noto Sans CJK SC"/>
        <family val="2"/>
      </rPr>
      <t xml:space="preserve">수동 탄도</t>
    </r>
    <r>
      <rPr>
        <sz val="10"/>
        <rFont val="Malgun Gothic"/>
        <family val="0"/>
        <charset val="1"/>
      </rPr>
      <t xml:space="preserve">(Manual Ballistics) </t>
    </r>
    <r>
      <rPr>
        <sz val="10"/>
        <rFont val="Noto Sans CJK SC"/>
        <family val="2"/>
      </rPr>
      <t xml:space="preserve">절차</t>
    </r>
  </si>
  <si>
    <t xml:space="preserve">Manual Ballistics Procedures</t>
  </si>
  <si>
    <r>
      <rPr>
        <sz val="10"/>
        <rFont val="Noto Sans CJK SC"/>
        <family val="2"/>
      </rPr>
      <t xml:space="preserve">항전에 통합되지 않은 무장 탑재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특성이 다른 무장에 대한 수동 탄도 적용 필요 시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</si>
  <si>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</t>
    </r>
  </si>
  <si>
    <t xml:space="preserve">1-454</t>
  </si>
  <si>
    <r>
      <rPr>
        <b val="true"/>
        <sz val="10"/>
        <rFont val="Malgun Gothic"/>
        <family val="0"/>
        <charset val="1"/>
      </rPr>
      <t xml:space="preserve">■ P11  </t>
    </r>
    <r>
      <rPr>
        <b val="true"/>
        <sz val="10"/>
        <rFont val="Noto Sans CJK SC"/>
        <family val="2"/>
      </rPr>
      <t xml:space="preserve">공대공 교전  </t>
    </r>
    <r>
      <rPr>
        <b val="true"/>
        <sz val="10"/>
        <rFont val="Malgun Gothic"/>
        <family val="0"/>
        <charset val="1"/>
      </rPr>
      <t xml:space="preserve">(Air-to-Air Engagement) — BVR/WVR </t>
    </r>
    <r>
      <rPr>
        <b val="true"/>
        <sz val="10"/>
        <rFont val="Noto Sans CJK SC"/>
        <family val="2"/>
      </rPr>
      <t xml:space="preserve">교전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기총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미사일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도그파이트 모드</t>
    </r>
    <r>
      <rPr>
        <b val="true"/>
        <sz val="10"/>
        <rFont val="Malgun Gothic"/>
        <family val="0"/>
        <charset val="1"/>
      </rPr>
      <t xml:space="preserve">.</t>
    </r>
  </si>
  <si>
    <t xml:space="preserve">P11</t>
  </si>
  <si>
    <t xml:space="preserve">공대공 교전</t>
  </si>
  <si>
    <t xml:space="preserve">SD-07</t>
  </si>
  <si>
    <r>
      <rPr>
        <sz val="10"/>
        <rFont val="Malgun Gothic"/>
        <family val="0"/>
        <charset val="1"/>
      </rPr>
      <t xml:space="preserve">AIFF </t>
    </r>
    <r>
      <rPr>
        <sz val="10"/>
        <rFont val="Noto Sans CJK SC"/>
        <family val="2"/>
      </rPr>
      <t xml:space="preserve">인터로게이터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질문기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운용</t>
    </r>
  </si>
  <si>
    <t xml:space="preserve">AIFF Interrogator Operation</t>
  </si>
  <si>
    <r>
      <rPr>
        <sz val="10"/>
        <rFont val="Malgun Gothic"/>
        <family val="0"/>
        <charset val="1"/>
      </rPr>
      <t xml:space="preserve">FCR</t>
    </r>
    <r>
      <rPr>
        <sz val="10"/>
        <rFont val="Noto Sans CJK SC"/>
        <family val="2"/>
      </rPr>
      <t xml:space="preserve">에 미식별 접촉 표시 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교전</t>
    </r>
    <r>
      <rPr>
        <sz val="10"/>
        <rFont val="Malgun Gothic"/>
        <family val="0"/>
        <charset val="1"/>
      </rPr>
      <t xml:space="preserve">(commit) </t>
    </r>
    <r>
      <rPr>
        <sz val="10"/>
        <rFont val="Noto Sans CJK SC"/>
        <family val="2"/>
      </rPr>
      <t xml:space="preserve">전 </t>
    </r>
    <r>
      <rPr>
        <sz val="10"/>
        <rFont val="Malgun Gothic"/>
        <family val="0"/>
        <charset val="1"/>
      </rPr>
      <t xml:space="preserve">ID </t>
    </r>
    <r>
      <rPr>
        <sz val="10"/>
        <rFont val="Noto Sans CJK SC"/>
        <family val="2"/>
      </rPr>
      <t xml:space="preserve">필요 시 </t>
    </r>
    <r>
      <rPr>
        <sz val="10"/>
        <rFont val="Malgun Gothic"/>
        <family val="0"/>
        <charset val="1"/>
      </rPr>
      <t xml:space="preserve">/ AWACS·</t>
    </r>
    <r>
      <rPr>
        <sz val="10"/>
        <rFont val="Noto Sans CJK SC"/>
        <family val="2"/>
      </rPr>
      <t xml:space="preserve">데이터링크 </t>
    </r>
    <r>
      <rPr>
        <sz val="10"/>
        <rFont val="Malgun Gothic"/>
        <family val="0"/>
        <charset val="1"/>
      </rPr>
      <t xml:space="preserve">ID</t>
    </r>
    <r>
      <rPr>
        <sz val="10"/>
        <rFont val="Noto Sans CJK SC"/>
        <family val="2"/>
      </rPr>
      <t xml:space="preserve">와 대조 필요 시</t>
    </r>
  </si>
  <si>
    <r>
      <rPr>
        <sz val="10"/>
        <rFont val="Malgun Gothic"/>
        <family val="0"/>
        <charset val="1"/>
      </rPr>
      <t xml:space="preserve">IFF Master NORM → LIST→RCL INTG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FCR SOI(DMS DN) → SCAN: TMS LEFT SHORT / LOS: </t>
    </r>
    <r>
      <rPr>
        <sz val="10"/>
        <rFont val="Noto Sans CJK SC"/>
        <family val="2"/>
      </rPr>
      <t xml:space="preserve">커서 지정 후 </t>
    </r>
    <r>
      <rPr>
        <sz val="10"/>
        <rFont val="Malgun Gothic"/>
        <family val="0"/>
        <charset val="1"/>
      </rPr>
      <t xml:space="preserve">TMS LEFT LONG → </t>
    </r>
    <r>
      <rPr>
        <sz val="10"/>
        <rFont val="Noto Sans CJK SC"/>
        <family val="2"/>
      </rPr>
      <t xml:space="preserve">녹색 원</t>
    </r>
    <r>
      <rPr>
        <sz val="10"/>
        <rFont val="Malgun Gothic"/>
        <family val="0"/>
        <charset val="1"/>
      </rPr>
      <t xml:space="preserve">/'4' </t>
    </r>
    <r>
      <rPr>
        <sz val="10"/>
        <rFont val="Noto Sans CJK SC"/>
        <family val="2"/>
      </rPr>
      <t xml:space="preserve">확인 → 무응답 시 </t>
    </r>
    <r>
      <rPr>
        <sz val="10"/>
        <rFont val="Malgun Gothic"/>
        <family val="0"/>
        <charset val="1"/>
      </rPr>
      <t xml:space="preserve">ROE </t>
    </r>
    <r>
      <rPr>
        <sz val="10"/>
        <rFont val="Noto Sans CJK SC"/>
        <family val="2"/>
      </rPr>
      <t xml:space="preserve">판단</t>
    </r>
  </si>
  <si>
    <t xml:space="preserve">1-191</t>
  </si>
  <si>
    <t xml:space="preserve">AA-01</t>
  </si>
  <si>
    <t xml:space="preserve">공대공 전투 일반 운용 고려사항</t>
  </si>
  <si>
    <t xml:space="preserve">Air-to-Air Combat General Operating Considerations</t>
  </si>
  <si>
    <r>
      <rPr>
        <sz val="10"/>
        <rFont val="Malgun Gothic"/>
        <family val="0"/>
        <charset val="1"/>
      </rPr>
      <t xml:space="preserve">Fence-In </t>
    </r>
    <r>
      <rPr>
        <sz val="10"/>
        <rFont val="Noto Sans CJK SC"/>
        <family val="2"/>
      </rPr>
      <t xml:space="preserve">시 공대공 무장 셋업 점검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적기 접촉</t>
    </r>
    <r>
      <rPr>
        <sz val="10"/>
        <rFont val="Malgun Gothic"/>
        <family val="0"/>
        <charset val="1"/>
      </rPr>
      <t xml:space="preserve">(bandit/bogey </t>
    </r>
    <r>
      <rPr>
        <sz val="10"/>
        <rFont val="Noto Sans CJK SC"/>
        <family val="2"/>
      </rPr>
      <t xml:space="preserve">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 교전 모드 선택</t>
    </r>
  </si>
  <si>
    <r>
      <rPr>
        <sz val="10"/>
        <rFont val="Malgun Gothic"/>
        <family val="0"/>
        <charset val="1"/>
      </rPr>
      <t xml:space="preserve">A-A(ICP)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DGFT/MSL OVRD(Dogfight sw) → MASTER ARM ARM/SIM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무장</t>
    </r>
    <r>
      <rPr>
        <sz val="10"/>
        <rFont val="Malgun Gothic"/>
        <family val="0"/>
        <charset val="1"/>
      </rPr>
      <t xml:space="preserve">(GUN/9LM/9X/A120C)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심볼로지 확인 → 레이더 모드</t>
    </r>
    <r>
      <rPr>
        <sz val="10"/>
        <rFont val="Malgun Gothic"/>
        <family val="0"/>
        <charset val="1"/>
      </rPr>
      <t xml:space="preserve">(ACM/CRM) </t>
    </r>
    <r>
      <rPr>
        <sz val="10"/>
        <rFont val="Noto Sans CJK SC"/>
        <family val="2"/>
      </rPr>
      <t xml:space="preserve">확인</t>
    </r>
  </si>
  <si>
    <t xml:space="preserve">1-386</t>
  </si>
  <si>
    <t xml:space="preserve">AA-02</t>
  </si>
  <si>
    <r>
      <rPr>
        <sz val="10"/>
        <rFont val="Malgun Gothic"/>
        <family val="0"/>
        <charset val="1"/>
      </rPr>
      <t xml:space="preserve">EEGS </t>
    </r>
    <r>
      <rPr>
        <sz val="10"/>
        <rFont val="Noto Sans CJK SC"/>
        <family val="2"/>
      </rPr>
      <t xml:space="preserve">사격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기총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</si>
  <si>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EEGS Gunnery Procedures</t>
  </si>
  <si>
    <r>
      <rPr>
        <sz val="10"/>
        <rFont val="Malgun Gothic"/>
        <family val="0"/>
        <charset val="1"/>
      </rPr>
      <t xml:space="preserve">WVR </t>
    </r>
    <r>
      <rPr>
        <sz val="10"/>
        <rFont val="Noto Sans CJK SC"/>
        <family val="2"/>
      </rPr>
      <t xml:space="preserve">교전 진입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표적 약 </t>
    </r>
    <r>
      <rPr>
        <sz val="10"/>
        <rFont val="Malgun Gothic"/>
        <family val="0"/>
        <charset val="1"/>
      </rPr>
      <t xml:space="preserve">1nm </t>
    </r>
    <r>
      <rPr>
        <sz val="10"/>
        <rFont val="Noto Sans CJK SC"/>
        <family val="2"/>
      </rPr>
      <t xml:space="preserve">이내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미사일 소진 또는 최소사거리 이내 상황에서 기총 교전 결정 시</t>
    </r>
  </si>
  <si>
    <r>
      <rPr>
        <sz val="10"/>
        <rFont val="Malgun Gothic"/>
        <family val="0"/>
        <charset val="1"/>
      </rPr>
      <t xml:space="preserve">A-A→SMS GUN(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DGFT) → HUD EEGS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ACM TMS UP </t>
    </r>
    <r>
      <rPr>
        <sz val="10"/>
        <rFont val="Noto Sans CJK SC"/>
        <family val="2"/>
      </rPr>
      <t xml:space="preserve">락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LIST→5 MAN WSPAN </t>
    </r>
    <r>
      <rPr>
        <sz val="10"/>
        <rFont val="Noto Sans CJK SC"/>
        <family val="2"/>
      </rPr>
      <t xml:space="preserve">입력</t>
    </r>
    <r>
      <rPr>
        <sz val="10"/>
        <rFont val="Malgun Gothic"/>
        <family val="0"/>
        <charset val="1"/>
      </rPr>
      <t xml:space="preserve">) → MASTER ARM → </t>
    </r>
    <r>
      <rPr>
        <sz val="10"/>
        <rFont val="Noto Sans CJK SC"/>
        <family val="2"/>
      </rPr>
      <t xml:space="preserve">퍼널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피퍼 브래킷 → </t>
    </r>
    <r>
      <rPr>
        <sz val="10"/>
        <rFont val="Malgun Gothic"/>
        <family val="0"/>
        <charset val="1"/>
      </rPr>
      <t xml:space="preserve">Trigger 2</t>
    </r>
    <r>
      <rPr>
        <sz val="10"/>
        <rFont val="Noto Sans CJK SC"/>
        <family val="2"/>
      </rPr>
      <t xml:space="preserve">단</t>
    </r>
  </si>
  <si>
    <t xml:space="preserve">1-394</t>
  </si>
  <si>
    <t xml:space="preserve">AA-03</t>
  </si>
  <si>
    <r>
      <rPr>
        <sz val="10"/>
        <rFont val="Malgun Gothic"/>
        <family val="0"/>
        <charset val="1"/>
      </rPr>
      <t xml:space="preserve">LCOS </t>
    </r>
    <r>
      <rPr>
        <sz val="10"/>
        <rFont val="Noto Sans CJK SC"/>
        <family val="2"/>
      </rPr>
      <t xml:space="preserve">사격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기총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</si>
  <si>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LCOS Gunnery Procedures</t>
  </si>
  <si>
    <r>
      <rPr>
        <sz val="10"/>
        <rFont val="Malgun Gothic"/>
        <family val="0"/>
        <charset val="1"/>
      </rPr>
      <t xml:space="preserve">WVR </t>
    </r>
    <r>
      <rPr>
        <sz val="10"/>
        <rFont val="Noto Sans CJK SC"/>
        <family val="2"/>
      </rPr>
      <t xml:space="preserve">교전에서 </t>
    </r>
    <r>
      <rPr>
        <sz val="10"/>
        <rFont val="Malgun Gothic"/>
        <family val="0"/>
        <charset val="1"/>
      </rPr>
      <t xml:space="preserve">LCOS </t>
    </r>
    <r>
      <rPr>
        <sz val="10"/>
        <rFont val="Noto Sans CJK SC"/>
        <family val="2"/>
      </rPr>
      <t xml:space="preserve">건사이트가 선택된 경우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실기에서 </t>
    </r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건사이트 옵션이 </t>
    </r>
    <r>
      <rPr>
        <sz val="10"/>
        <rFont val="Malgun Gothic"/>
        <family val="0"/>
        <charset val="1"/>
      </rPr>
      <t xml:space="preserve">LCOS</t>
    </r>
    <r>
      <rPr>
        <sz val="10"/>
        <rFont val="Noto Sans CJK SC"/>
        <family val="2"/>
      </rPr>
      <t xml:space="preserve">일 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</si>
  <si>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미구현 — </t>
    </r>
    <r>
      <rPr>
        <sz val="10"/>
        <rFont val="Malgun Gothic"/>
        <family val="0"/>
        <charset val="1"/>
      </rPr>
      <t xml:space="preserve">EEGS </t>
    </r>
    <r>
      <rPr>
        <sz val="10"/>
        <rFont val="Noto Sans CJK SC"/>
        <family val="2"/>
      </rPr>
      <t xml:space="preserve">절차</t>
    </r>
    <r>
      <rPr>
        <sz val="10"/>
        <rFont val="Malgun Gothic"/>
        <family val="0"/>
        <charset val="1"/>
      </rPr>
      <t xml:space="preserve">(AA-02)</t>
    </r>
    <r>
      <rPr>
        <sz val="10"/>
        <rFont val="Noto Sans CJK SC"/>
        <family val="2"/>
      </rPr>
      <t xml:space="preserve">로 대체</t>
    </r>
    <r>
      <rPr>
        <sz val="10"/>
        <rFont val="Malgun Gothic"/>
        <family val="0"/>
        <charset val="1"/>
      </rPr>
      <t xml:space="preserve">: A-A/DGFT → WSPAN → MASTER ARM → </t>
    </r>
    <r>
      <rPr>
        <sz val="10"/>
        <rFont val="Noto Sans CJK SC"/>
        <family val="2"/>
      </rPr>
      <t xml:space="preserve">퍼널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피퍼 → </t>
    </r>
    <r>
      <rPr>
        <sz val="10"/>
        <rFont val="Malgun Gothic"/>
        <family val="0"/>
        <charset val="1"/>
      </rPr>
      <t xml:space="preserve">Trigger</t>
    </r>
  </si>
  <si>
    <t xml:space="preserve">1-396</t>
  </si>
  <si>
    <t xml:space="preserve">AA-04</t>
  </si>
  <si>
    <r>
      <rPr>
        <sz val="10"/>
        <rFont val="Noto Sans CJK SC"/>
        <family val="2"/>
      </rPr>
      <t xml:space="preserve">공대공 미사일</t>
    </r>
    <r>
      <rPr>
        <sz val="10"/>
        <rFont val="Malgun Gothic"/>
        <family val="0"/>
        <charset val="1"/>
      </rPr>
      <t xml:space="preserve">(AIM-9/AIM-120) </t>
    </r>
    <r>
      <rPr>
        <sz val="10"/>
        <rFont val="Noto Sans CJK SC"/>
        <family val="2"/>
      </rPr>
      <t xml:space="preserve">발사 절차</t>
    </r>
  </si>
  <si>
    <t xml:space="preserve">Air-to-Air Missiles Procedures</t>
  </si>
  <si>
    <r>
      <rPr>
        <sz val="10"/>
        <rFont val="Noto Sans CJK SC"/>
        <family val="2"/>
      </rPr>
      <t xml:space="preserve">적기 접촉 후 교전 허가</t>
    </r>
    <r>
      <rPr>
        <sz val="10"/>
        <rFont val="Malgun Gothic"/>
        <family val="0"/>
        <charset val="1"/>
      </rPr>
      <t xml:space="preserve">(commit/engage) — BVR: FCR </t>
    </r>
    <r>
      <rPr>
        <sz val="10"/>
        <rFont val="Noto Sans CJK SC"/>
        <family val="2"/>
      </rPr>
      <t xml:space="preserve">탐지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버그 후 </t>
    </r>
    <r>
      <rPr>
        <sz val="10"/>
        <rFont val="Malgun Gothic"/>
        <family val="0"/>
        <charset val="1"/>
      </rPr>
      <t xml:space="preserve">DLZ </t>
    </r>
    <r>
      <rPr>
        <sz val="10"/>
        <rFont val="Noto Sans CJK SC"/>
        <family val="2"/>
      </rPr>
      <t xml:space="preserve">진입</t>
    </r>
    <r>
      <rPr>
        <sz val="10"/>
        <rFont val="Malgun Gothic"/>
        <family val="0"/>
        <charset val="1"/>
      </rPr>
      <t xml:space="preserve">, WVR: </t>
    </r>
    <r>
      <rPr>
        <sz val="10"/>
        <rFont val="Noto Sans CJK SC"/>
        <family val="2"/>
      </rPr>
      <t xml:space="preserve">시커 톤 획득 시</t>
    </r>
  </si>
  <si>
    <r>
      <rPr>
        <sz val="10"/>
        <rFont val="Malgun Gothic"/>
        <family val="0"/>
        <charset val="1"/>
      </rPr>
      <t xml:space="preserve">A-A/MSL OVRD/DGFT → FCR SOI(DMS DN) → </t>
    </r>
    <r>
      <rPr>
        <sz val="10"/>
        <rFont val="Noto Sans CJK SC"/>
        <family val="2"/>
      </rPr>
      <t xml:space="preserve">표적 버그</t>
    </r>
    <r>
      <rPr>
        <sz val="10"/>
        <rFont val="Malgun Gothic"/>
        <family val="0"/>
        <charset val="1"/>
      </rPr>
      <t xml:space="preserve">/STT(TMS UP)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ACM → SMS </t>
    </r>
    <r>
      <rPr>
        <sz val="10"/>
        <rFont val="Noto Sans CJK SC"/>
        <family val="2"/>
      </rPr>
      <t xml:space="preserve">미사일</t>
    </r>
    <r>
      <rPr>
        <sz val="10"/>
        <rFont val="Malgun Gothic"/>
        <family val="0"/>
        <charset val="1"/>
      </rPr>
      <t xml:space="preserve">·SLAVE/BORE·COOL → MASTER ARM → [AIM-9] </t>
    </r>
    <r>
      <rPr>
        <sz val="10"/>
        <rFont val="Noto Sans CJK SC"/>
        <family val="2"/>
      </rPr>
      <t xml:space="preserve">톤→</t>
    </r>
    <r>
      <rPr>
        <sz val="10"/>
        <rFont val="Malgun Gothic"/>
        <family val="0"/>
        <charset val="1"/>
      </rPr>
      <t xml:space="preserve">UNCAGE(C)→</t>
    </r>
    <r>
      <rPr>
        <sz val="10"/>
        <rFont val="Noto Sans CJK SC"/>
        <family val="2"/>
      </rPr>
      <t xml:space="preserve">다이아몬드 래치→</t>
    </r>
    <r>
      <rPr>
        <sz val="10"/>
        <rFont val="Malgun Gothic"/>
        <family val="0"/>
        <charset val="1"/>
      </rPr>
      <t xml:space="preserve">WPN REL / [AIM-120] ASC in ASEC→DLZ→WPN REL→Pitbull</t>
    </r>
    <r>
      <rPr>
        <sz val="10"/>
        <rFont val="Noto Sans CJK SC"/>
        <family val="2"/>
      </rPr>
      <t xml:space="preserve">까지 추적</t>
    </r>
  </si>
  <si>
    <t xml:space="preserve">1-410</t>
  </si>
  <si>
    <t xml:space="preserve">AA-05</t>
  </si>
  <si>
    <t xml:space="preserve">도그파이트 모드 절차</t>
  </si>
  <si>
    <t xml:space="preserve">Dogfight Mode Procedures</t>
  </si>
  <si>
    <r>
      <rPr>
        <sz val="10"/>
        <rFont val="Malgun Gothic"/>
        <family val="0"/>
        <charset val="1"/>
      </rPr>
      <t xml:space="preserve">WVR </t>
    </r>
    <r>
      <rPr>
        <sz val="10"/>
        <rFont val="Noto Sans CJK SC"/>
        <family val="2"/>
      </rPr>
      <t xml:space="preserve">교전 진입</t>
    </r>
    <r>
      <rPr>
        <sz val="10"/>
        <rFont val="Malgun Gothic"/>
        <family val="0"/>
        <charset val="1"/>
      </rPr>
      <t xml:space="preserve">(merge) </t>
    </r>
    <r>
      <rPr>
        <sz val="10"/>
        <rFont val="Noto Sans CJK SC"/>
        <family val="2"/>
      </rPr>
      <t xml:space="preserve">또는 육안 접촉 적기에 대한 즉각 교전 필요 시</t>
    </r>
  </si>
  <si>
    <r>
      <rPr>
        <sz val="10"/>
        <rFont val="Malgun Gothic"/>
        <family val="0"/>
        <charset val="1"/>
      </rPr>
      <t xml:space="preserve">Dogfight sw OUTBOARD(DGFT) → SMS EEGS/</t>
    </r>
    <r>
      <rPr>
        <sz val="10"/>
        <rFont val="Noto Sans CJK SC"/>
        <family val="2"/>
      </rPr>
      <t xml:space="preserve">미사일 종류 확인 → </t>
    </r>
    <r>
      <rPr>
        <sz val="10"/>
        <rFont val="Malgun Gothic"/>
        <family val="0"/>
        <charset val="1"/>
      </rPr>
      <t xml:space="preserve">MASTER ARM → ACM </t>
    </r>
    <r>
      <rPr>
        <sz val="10"/>
        <rFont val="Noto Sans CJK SC"/>
        <family val="2"/>
      </rPr>
      <t xml:space="preserve">락</t>
    </r>
    <r>
      <rPr>
        <sz val="10"/>
        <rFont val="Malgun Gothic"/>
        <family val="0"/>
        <charset val="1"/>
      </rPr>
      <t xml:space="preserve">(TMS UP/DN/RT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HMCS) → </t>
    </r>
    <r>
      <rPr>
        <sz val="10"/>
        <rFont val="Noto Sans CJK SC"/>
        <family val="2"/>
      </rPr>
      <t xml:space="preserve">기총</t>
    </r>
    <r>
      <rPr>
        <sz val="10"/>
        <rFont val="Malgun Gothic"/>
        <family val="0"/>
        <charset val="1"/>
      </rPr>
      <t xml:space="preserve">(AA-02)/</t>
    </r>
    <r>
      <rPr>
        <sz val="10"/>
        <rFont val="Noto Sans CJK SC"/>
        <family val="2"/>
      </rPr>
      <t xml:space="preserve">미사일</t>
    </r>
    <r>
      <rPr>
        <sz val="10"/>
        <rFont val="Malgun Gothic"/>
        <family val="0"/>
        <charset val="1"/>
      </rPr>
      <t xml:space="preserve">(AA-04) </t>
    </r>
    <r>
      <rPr>
        <sz val="10"/>
        <rFont val="Noto Sans CJK SC"/>
        <family val="2"/>
      </rPr>
      <t xml:space="preserve">교전 → </t>
    </r>
    <r>
      <rPr>
        <sz val="10"/>
        <rFont val="Malgun Gothic"/>
        <family val="0"/>
        <charset val="1"/>
      </rPr>
      <t xml:space="preserve">CENTER </t>
    </r>
    <r>
      <rPr>
        <sz val="10"/>
        <rFont val="Noto Sans CJK SC"/>
        <family val="2"/>
      </rPr>
      <t xml:space="preserve">복귀</t>
    </r>
  </si>
  <si>
    <t xml:space="preserve">1-414</t>
  </si>
  <si>
    <r>
      <rPr>
        <b val="true"/>
        <sz val="10"/>
        <rFont val="Malgun Gothic"/>
        <family val="0"/>
        <charset val="1"/>
      </rPr>
      <t xml:space="preserve">■ P12  </t>
    </r>
    <r>
      <rPr>
        <b val="true"/>
        <sz val="10"/>
        <rFont val="Noto Sans CJK SC"/>
        <family val="2"/>
      </rPr>
      <t xml:space="preserve">공대지 공격  </t>
    </r>
    <r>
      <rPr>
        <b val="true"/>
        <sz val="10"/>
        <rFont val="Malgun Gothic"/>
        <family val="0"/>
        <charset val="1"/>
      </rPr>
      <t xml:space="preserve">(Air-to-Ground Attack) — CCIP/CCRP/DTOS/LADD, LGB/EO/HARM </t>
    </r>
    <r>
      <rPr>
        <b val="true"/>
        <sz val="10"/>
        <rFont val="Noto Sans CJK SC"/>
        <family val="2"/>
      </rPr>
      <t xml:space="preserve">운용</t>
    </r>
    <r>
      <rPr>
        <b val="true"/>
        <sz val="10"/>
        <rFont val="Malgun Gothic"/>
        <family val="0"/>
        <charset val="1"/>
      </rPr>
      <t xml:space="preserve">, TGP </t>
    </r>
    <r>
      <rPr>
        <b val="true"/>
        <sz val="10"/>
        <rFont val="Noto Sans CJK SC"/>
        <family val="2"/>
      </rPr>
      <t xml:space="preserve">운용</t>
    </r>
    <r>
      <rPr>
        <b val="true"/>
        <sz val="10"/>
        <rFont val="Malgun Gothic"/>
        <family val="0"/>
        <charset val="1"/>
      </rPr>
      <t xml:space="preserve">.</t>
    </r>
  </si>
  <si>
    <t xml:space="preserve">P12</t>
  </si>
  <si>
    <t xml:space="preserve">공대지 공격</t>
  </si>
  <si>
    <t xml:space="preserve">SD-11</t>
  </si>
  <si>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레이저 운용</t>
    </r>
  </si>
  <si>
    <t xml:space="preserve">Laser Operation</t>
  </si>
  <si>
    <r>
      <rPr>
        <sz val="10"/>
        <rFont val="Malgun Gothic"/>
        <family val="0"/>
        <charset val="1"/>
      </rPr>
      <t xml:space="preserve">LGB </t>
    </r>
    <r>
      <rPr>
        <sz val="10"/>
        <rFont val="Noto Sans CJK SC"/>
        <family val="2"/>
      </rPr>
      <t xml:space="preserve">명중 </t>
    </r>
    <r>
      <rPr>
        <sz val="10"/>
        <rFont val="Malgun Gothic"/>
        <family val="0"/>
        <charset val="1"/>
      </rPr>
      <t xml:space="preserve">8~12</t>
    </r>
    <r>
      <rPr>
        <sz val="10"/>
        <rFont val="Noto Sans CJK SC"/>
        <family val="2"/>
      </rPr>
      <t xml:space="preserve">초 전 또는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레이저 거리측정 필요 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이륙 후</t>
    </r>
    <r>
      <rPr>
        <sz val="10"/>
        <rFont val="Malgun Gothic"/>
        <family val="0"/>
        <charset val="1"/>
      </rPr>
      <t xml:space="preserve">, 25,000ft </t>
    </r>
    <r>
      <rPr>
        <sz val="10"/>
        <rFont val="Noto Sans CJK SC"/>
        <family val="2"/>
      </rPr>
      <t xml:space="preserve">미만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</si>
  <si>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LASER ARM UP → </t>
    </r>
    <r>
      <rPr>
        <sz val="10"/>
        <rFont val="Noto Sans CJK SC"/>
        <family val="2"/>
      </rPr>
      <t xml:space="preserve">코드 확인</t>
    </r>
    <r>
      <rPr>
        <sz val="10"/>
        <rFont val="Malgun Gothic"/>
        <family val="0"/>
        <charset val="1"/>
      </rPr>
      <t xml:space="preserve">(LASR) → TGP 'L' </t>
    </r>
    <r>
      <rPr>
        <sz val="10"/>
        <rFont val="Noto Sans CJK SC"/>
        <family val="2"/>
      </rPr>
      <t xml:space="preserve">표시 → 트리거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단 홀드</t>
    </r>
    <r>
      <rPr>
        <sz val="10"/>
        <rFont val="Malgun Gothic"/>
        <family val="0"/>
        <charset val="1"/>
      </rPr>
      <t xml:space="preserve">(L </t>
    </r>
    <r>
      <rPr>
        <sz val="10"/>
        <rFont val="Noto Sans CJK SC"/>
        <family val="2"/>
      </rPr>
      <t xml:space="preserve">점멸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명중까지 유지</t>
    </r>
  </si>
  <si>
    <t xml:space="preserve">1-226</t>
  </si>
  <si>
    <t xml:space="preserve">AG-01</t>
  </si>
  <si>
    <r>
      <rPr>
        <sz val="10"/>
        <rFont val="Malgun Gothic"/>
        <family val="0"/>
        <charset val="1"/>
      </rPr>
      <t xml:space="preserve">CCRP(</t>
    </r>
    <r>
      <rPr>
        <sz val="10"/>
        <rFont val="Noto Sans CJK SC"/>
        <family val="2"/>
      </rPr>
      <t xml:space="preserve">사전계획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서브모드 절차</t>
    </r>
  </si>
  <si>
    <t xml:space="preserve">CCRP Preplanned Submode Procedures</t>
  </si>
  <si>
    <r>
      <rPr>
        <sz val="10"/>
        <rFont val="Noto Sans CJK SC"/>
        <family val="2"/>
      </rPr>
      <t xml:space="preserve">표적 스티어포인트 접근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15~20nm </t>
    </r>
    <r>
      <rPr>
        <sz val="10"/>
        <rFont val="Noto Sans CJK SC"/>
        <family val="2"/>
      </rPr>
      <t xml:space="preserve">전방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공격 진입</t>
    </r>
    <r>
      <rPr>
        <sz val="10"/>
        <rFont val="Malgun Gothic"/>
        <family val="0"/>
        <charset val="1"/>
      </rPr>
      <t xml:space="preserve">(IP </t>
    </r>
    <r>
      <rPr>
        <sz val="10"/>
        <rFont val="Noto Sans CJK SC"/>
        <family val="2"/>
      </rPr>
      <t xml:space="preserve">통과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</t>
    </r>
  </si>
  <si>
    <r>
      <rPr>
        <sz val="10"/>
        <rFont val="Malgun Gothic"/>
        <family val="0"/>
        <charset val="1"/>
      </rPr>
      <t xml:space="preserve">A-G → MASTER ARM → SMS CCRP/</t>
    </r>
    <r>
      <rPr>
        <sz val="10"/>
        <rFont val="Noto Sans CJK SC"/>
        <family val="2"/>
      </rPr>
      <t xml:space="preserve">무장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퓨즈 </t>
    </r>
    <r>
      <rPr>
        <sz val="10"/>
        <rFont val="Malgun Gothic"/>
        <family val="0"/>
        <charset val="1"/>
      </rPr>
      <t xml:space="preserve">RDY → FCR GM + Sighting TGT/OA/IP →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DMS SOI FCR → </t>
    </r>
    <r>
      <rPr>
        <sz val="10"/>
        <rFont val="Noto Sans CJK SC"/>
        <family val="2"/>
      </rPr>
      <t xml:space="preserve">커서 슬루 → </t>
    </r>
    <r>
      <rPr>
        <sz val="10"/>
        <rFont val="Malgun Gothic"/>
        <family val="0"/>
        <charset val="1"/>
      </rPr>
      <t xml:space="preserve">TMS UP(FTT) → FPM-ASL </t>
    </r>
    <r>
      <rPr>
        <sz val="10"/>
        <rFont val="Noto Sans CJK SC"/>
        <family val="2"/>
      </rPr>
      <t xml:space="preserve">정렬 → </t>
    </r>
    <r>
      <rPr>
        <sz val="10"/>
        <rFont val="Malgun Gothic"/>
        <family val="0"/>
        <charset val="1"/>
      </rPr>
      <t xml:space="preserve">WPN REL </t>
    </r>
    <r>
      <rPr>
        <sz val="10"/>
        <rFont val="Noto Sans CJK SC"/>
        <family val="2"/>
      </rPr>
      <t xml:space="preserve">홀드</t>
    </r>
  </si>
  <si>
    <t xml:space="preserve">1-427</t>
  </si>
  <si>
    <t xml:space="preserve">AG-02</t>
  </si>
  <si>
    <r>
      <rPr>
        <sz val="10"/>
        <rFont val="Malgun Gothic"/>
        <family val="0"/>
        <charset val="1"/>
      </rPr>
      <t xml:space="preserve">CCIP(</t>
    </r>
    <r>
      <rPr>
        <sz val="10"/>
        <rFont val="Noto Sans CJK SC"/>
        <family val="2"/>
      </rPr>
      <t xml:space="preserve">연속계산탄착점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시각 서브모드 절차</t>
    </r>
  </si>
  <si>
    <t xml:space="preserve">CCIP Visual Submode Procedures</t>
  </si>
  <si>
    <r>
      <rPr>
        <sz val="10"/>
        <rFont val="Noto Sans CJK SC"/>
        <family val="2"/>
      </rPr>
      <t xml:space="preserve">표적 육안 식별 후 롤인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다이브 진입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</t>
    </r>
  </si>
  <si>
    <r>
      <rPr>
        <sz val="10"/>
        <rFont val="Malgun Gothic"/>
        <family val="0"/>
        <charset val="1"/>
      </rPr>
      <t xml:space="preserve">FCR ON → A-G → SMS CCIP/</t>
    </r>
    <r>
      <rPr>
        <sz val="10"/>
        <rFont val="Noto Sans CJK SC"/>
        <family val="2"/>
      </rPr>
      <t xml:space="preserve">무장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퓨즈 </t>
    </r>
    <r>
      <rPr>
        <sz val="10"/>
        <rFont val="Malgun Gothic"/>
        <family val="0"/>
        <charset val="1"/>
      </rPr>
      <t xml:space="preserve">RDY → MASTER ARM → </t>
    </r>
    <r>
      <rPr>
        <sz val="10"/>
        <rFont val="Noto Sans CJK SC"/>
        <family val="2"/>
      </rPr>
      <t xml:space="preserve">롤인 → </t>
    </r>
    <r>
      <rPr>
        <sz val="10"/>
        <rFont val="Malgun Gothic"/>
        <family val="0"/>
        <charset val="1"/>
      </rPr>
      <t xml:space="preserve">BFL </t>
    </r>
    <r>
      <rPr>
        <sz val="10"/>
        <rFont val="Noto Sans CJK SC"/>
        <family val="2"/>
      </rPr>
      <t xml:space="preserve">정렬</t>
    </r>
    <r>
      <rPr>
        <sz val="10"/>
        <rFont val="Malgun Gothic"/>
        <family val="0"/>
        <charset val="1"/>
      </rPr>
      <t xml:space="preserve">·TDC </t>
    </r>
    <r>
      <rPr>
        <sz val="10"/>
        <rFont val="Noto Sans CJK SC"/>
        <family val="2"/>
      </rPr>
      <t xml:space="preserve">소멸 확인 → 피퍼 일치 시 </t>
    </r>
    <r>
      <rPr>
        <sz val="10"/>
        <rFont val="Malgun Gothic"/>
        <family val="0"/>
        <charset val="1"/>
      </rPr>
      <t xml:space="preserve">WPN REL → </t>
    </r>
    <r>
      <rPr>
        <sz val="10"/>
        <rFont val="Noto Sans CJK SC"/>
        <family val="2"/>
      </rPr>
      <t xml:space="preserve">풀업</t>
    </r>
  </si>
  <si>
    <t xml:space="preserve">1-429</t>
  </si>
  <si>
    <t xml:space="preserve">AG-03</t>
  </si>
  <si>
    <r>
      <rPr>
        <sz val="10"/>
        <rFont val="Malgun Gothic"/>
        <family val="0"/>
        <charset val="1"/>
      </rPr>
      <t xml:space="preserve">CCIP </t>
    </r>
    <r>
      <rPr>
        <sz val="10"/>
        <rFont val="Noto Sans CJK SC"/>
        <family val="2"/>
      </rPr>
      <t xml:space="preserve">로켓 특별 고려사항</t>
    </r>
  </si>
  <si>
    <t xml:space="preserve">CCIP Rockets Special Considerations</t>
  </si>
  <si>
    <r>
      <rPr>
        <sz val="10"/>
        <rFont val="Noto Sans CJK SC"/>
        <family val="2"/>
      </rPr>
      <t xml:space="preserve">표적 육안 식별 후 </t>
    </r>
    <r>
      <rPr>
        <sz val="10"/>
        <rFont val="Malgun Gothic"/>
        <family val="0"/>
        <charset val="1"/>
      </rPr>
      <t xml:space="preserve">20~30° </t>
    </r>
    <r>
      <rPr>
        <sz val="10"/>
        <rFont val="Noto Sans CJK SC"/>
        <family val="2"/>
      </rPr>
      <t xml:space="preserve">다이브 진입</t>
    </r>
    <r>
      <rPr>
        <sz val="10"/>
        <rFont val="Malgun Gothic"/>
        <family val="0"/>
        <charset val="1"/>
      </rPr>
      <t xml:space="preserve">, In-Range Cue(8,000ft) </t>
    </r>
    <r>
      <rPr>
        <sz val="10"/>
        <rFont val="Noto Sans CJK SC"/>
        <family val="2"/>
      </rPr>
      <t xml:space="preserve">표시 시</t>
    </r>
  </si>
  <si>
    <r>
      <rPr>
        <sz val="10"/>
        <rFont val="Malgun Gothic"/>
        <family val="0"/>
        <charset val="1"/>
      </rPr>
      <t xml:space="preserve">A-G → MASTER ARM → SMS Rockets(CCIP </t>
    </r>
    <r>
      <rPr>
        <sz val="10"/>
        <rFont val="Noto Sans CJK SC"/>
        <family val="2"/>
      </rPr>
      <t xml:space="preserve">자동</t>
    </r>
    <r>
      <rPr>
        <sz val="10"/>
        <rFont val="Malgun Gothic"/>
        <family val="0"/>
        <charset val="1"/>
      </rPr>
      <t xml:space="preserve">)/SGL·PAIR → </t>
    </r>
    <r>
      <rPr>
        <sz val="10"/>
        <rFont val="Noto Sans CJK SC"/>
        <family val="2"/>
      </rPr>
      <t xml:space="preserve">다이브 → 피퍼 정렬 → </t>
    </r>
    <r>
      <rPr>
        <sz val="10"/>
        <rFont val="Malgun Gothic"/>
        <family val="0"/>
        <charset val="1"/>
      </rPr>
      <t xml:space="preserve">In-Range Cue → WPN REL</t>
    </r>
  </si>
  <si>
    <t xml:space="preserve">1-432</t>
  </si>
  <si>
    <t xml:space="preserve">AG-04</t>
  </si>
  <si>
    <r>
      <rPr>
        <sz val="10"/>
        <rFont val="Noto Sans CJK SC"/>
        <family val="2"/>
      </rPr>
      <t xml:space="preserve">다이브 토스</t>
    </r>
    <r>
      <rPr>
        <sz val="10"/>
        <rFont val="Malgun Gothic"/>
        <family val="0"/>
        <charset val="1"/>
      </rPr>
      <t xml:space="preserve">(DTOS) </t>
    </r>
    <r>
      <rPr>
        <sz val="10"/>
        <rFont val="Noto Sans CJK SC"/>
        <family val="2"/>
      </rPr>
      <t xml:space="preserve">서브모드 공격 절차</t>
    </r>
  </si>
  <si>
    <t xml:space="preserve">Dive Toss (DTOS) Submode Attack Procedure</t>
  </si>
  <si>
    <r>
      <rPr>
        <sz val="10"/>
        <rFont val="Noto Sans CJK SC"/>
        <family val="2"/>
      </rPr>
      <t xml:space="preserve">표적 육안 식별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HMCS </t>
    </r>
    <r>
      <rPr>
        <sz val="10"/>
        <rFont val="Noto Sans CJK SC"/>
        <family val="2"/>
      </rPr>
      <t xml:space="preserve">시선 포착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후 공격 진입 시</t>
    </r>
  </si>
  <si>
    <r>
      <rPr>
        <sz val="10"/>
        <rFont val="Malgun Gothic"/>
        <family val="0"/>
        <charset val="1"/>
      </rPr>
      <t xml:space="preserve">A-G → MASTER ARM → SMS DTOS/</t>
    </r>
    <r>
      <rPr>
        <sz val="10"/>
        <rFont val="Noto Sans CJK SC"/>
        <family val="2"/>
      </rPr>
      <t xml:space="preserve">무장 </t>
    </r>
    <r>
      <rPr>
        <sz val="10"/>
        <rFont val="Malgun Gothic"/>
        <family val="0"/>
        <charset val="1"/>
      </rPr>
      <t xml:space="preserve">RDY → DMS UP(HUD SOI) → TD Box </t>
    </r>
    <r>
      <rPr>
        <sz val="10"/>
        <rFont val="Noto Sans CJK SC"/>
        <family val="2"/>
      </rPr>
      <t xml:space="preserve">표적 위치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슬루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HMCS) → TMS UP </t>
    </r>
    <r>
      <rPr>
        <sz val="10"/>
        <rFont val="Noto Sans CJK SC"/>
        <family val="2"/>
      </rPr>
      <t xml:space="preserve">지정 → </t>
    </r>
    <r>
      <rPr>
        <sz val="10"/>
        <rFont val="Malgun Gothic"/>
        <family val="0"/>
        <charset val="1"/>
      </rPr>
      <t xml:space="preserve">FPM-ASL </t>
    </r>
    <r>
      <rPr>
        <sz val="10"/>
        <rFont val="Noto Sans CJK SC"/>
        <family val="2"/>
      </rPr>
      <t xml:space="preserve">정렬 → </t>
    </r>
    <r>
      <rPr>
        <sz val="10"/>
        <rFont val="Malgun Gothic"/>
        <family val="0"/>
        <charset val="1"/>
      </rPr>
      <t xml:space="preserve">WPN REL </t>
    </r>
    <r>
      <rPr>
        <sz val="10"/>
        <rFont val="Noto Sans CJK SC"/>
        <family val="2"/>
      </rPr>
      <t xml:space="preserve">홀드</t>
    </r>
  </si>
  <si>
    <t xml:space="preserve">AG-05</t>
  </si>
  <si>
    <r>
      <rPr>
        <sz val="10"/>
        <rFont val="Noto Sans CJK SC"/>
        <family val="2"/>
      </rPr>
      <t xml:space="preserve">백업 다이브 토스</t>
    </r>
    <r>
      <rPr>
        <sz val="10"/>
        <rFont val="Malgun Gothic"/>
        <family val="0"/>
        <charset val="1"/>
      </rPr>
      <t xml:space="preserve">(Backup DTOS) </t>
    </r>
    <r>
      <rPr>
        <sz val="10"/>
        <rFont val="Noto Sans CJK SC"/>
        <family val="2"/>
      </rPr>
      <t xml:space="preserve">서브모드 절차</t>
    </r>
  </si>
  <si>
    <t xml:space="preserve">Backup Dive Toss (Backup DTOS) Submode Procedures</t>
  </si>
  <si>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심볼로지 고장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소실 상태에서 </t>
    </r>
    <r>
      <rPr>
        <sz val="10"/>
        <rFont val="Malgun Gothic"/>
        <family val="0"/>
        <charset val="1"/>
      </rPr>
      <t xml:space="preserve">DTOS </t>
    </r>
    <r>
      <rPr>
        <sz val="10"/>
        <rFont val="Noto Sans CJK SC"/>
        <family val="2"/>
      </rPr>
      <t xml:space="preserve">공격이 필요할 때</t>
    </r>
  </si>
  <si>
    <r>
      <rPr>
        <sz val="10"/>
        <rFont val="Malgun Gothic"/>
        <family val="0"/>
        <charset val="1"/>
      </rPr>
      <t xml:space="preserve">SMS DTOS → HUD Reticle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STBY → Depression 0 mil → </t>
    </r>
    <r>
      <rPr>
        <sz val="10"/>
        <rFont val="Noto Sans CJK SC"/>
        <family val="2"/>
      </rPr>
      <t xml:space="preserve">레티클 표적 정렬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지정 → 조향바 추종 → </t>
    </r>
    <r>
      <rPr>
        <sz val="10"/>
        <rFont val="Malgun Gothic"/>
        <family val="0"/>
        <charset val="1"/>
      </rPr>
      <t xml:space="preserve">WPN REL </t>
    </r>
    <r>
      <rPr>
        <sz val="10"/>
        <rFont val="Noto Sans CJK SC"/>
        <family val="2"/>
      </rPr>
      <t xml:space="preserve">홀드</t>
    </r>
  </si>
  <si>
    <t xml:space="preserve">1-436</t>
  </si>
  <si>
    <t xml:space="preserve">AG-06</t>
  </si>
  <si>
    <r>
      <rPr>
        <sz val="10"/>
        <rFont val="Malgun Gothic"/>
        <family val="0"/>
        <charset val="1"/>
      </rPr>
      <t xml:space="preserve">LADD </t>
    </r>
    <r>
      <rPr>
        <sz val="10"/>
        <rFont val="Noto Sans CJK SC"/>
        <family val="2"/>
      </rPr>
      <t xml:space="preserve">서브모드 절차</t>
    </r>
  </si>
  <si>
    <t xml:space="preserve">LADD Submode Procedures</t>
  </si>
  <si>
    <r>
      <rPr>
        <sz val="10"/>
        <rFont val="Noto Sans CJK SC"/>
        <family val="2"/>
      </rPr>
      <t xml:space="preserve">저고도 진입 중 </t>
    </r>
    <r>
      <rPr>
        <sz val="10"/>
        <rFont val="Malgun Gothic"/>
        <family val="0"/>
        <charset val="1"/>
      </rPr>
      <t xml:space="preserve">LADD </t>
    </r>
    <r>
      <rPr>
        <sz val="10"/>
        <rFont val="Noto Sans CJK SC"/>
        <family val="2"/>
      </rPr>
      <t xml:space="preserve">풀업 지점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풀업까지 시간 큐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초 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접근 시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</si>
  <si>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— </t>
    </r>
    <r>
      <rPr>
        <sz val="10"/>
        <rFont val="Noto Sans CJK SC"/>
        <family val="2"/>
      </rPr>
      <t xml:space="preserve">대안</t>
    </r>
    <r>
      <rPr>
        <sz val="10"/>
        <rFont val="Malgun Gothic"/>
        <family val="0"/>
        <charset val="1"/>
      </rPr>
      <t xml:space="preserve">: CCRP + </t>
    </r>
    <r>
      <rPr>
        <sz val="10"/>
        <rFont val="Noto Sans CJK SC"/>
        <family val="2"/>
      </rPr>
      <t xml:space="preserve">수동 로프트</t>
    </r>
  </si>
  <si>
    <t xml:space="preserve">1-438</t>
  </si>
  <si>
    <t xml:space="preserve">AG-07</t>
  </si>
  <si>
    <r>
      <rPr>
        <sz val="10"/>
        <rFont val="Noto Sans CJK SC"/>
        <family val="2"/>
      </rPr>
      <t xml:space="preserve">수동</t>
    </r>
    <r>
      <rPr>
        <sz val="10"/>
        <rFont val="Malgun Gothic"/>
        <family val="0"/>
        <charset val="1"/>
      </rPr>
      <t xml:space="preserve">(MAN) </t>
    </r>
    <r>
      <rPr>
        <sz val="10"/>
        <rFont val="Noto Sans CJK SC"/>
        <family val="2"/>
      </rPr>
      <t xml:space="preserve">무장 투하 절차</t>
    </r>
  </si>
  <si>
    <t xml:space="preserve">Manual Weapon Delivery Procedures</t>
  </si>
  <si>
    <r>
      <rPr>
        <sz val="10"/>
        <rFont val="Malgun Gothic"/>
        <family val="0"/>
        <charset val="1"/>
      </rPr>
      <t xml:space="preserve">CCIP/CCRP </t>
    </r>
    <r>
      <rPr>
        <sz val="10"/>
        <rFont val="Noto Sans CJK SC"/>
        <family val="2"/>
      </rPr>
      <t xml:space="preserve">계산 불가</t>
    </r>
    <r>
      <rPr>
        <sz val="10"/>
        <rFont val="Malgun Gothic"/>
        <family val="0"/>
        <charset val="1"/>
      </rPr>
      <t xml:space="preserve">(FCC·</t>
    </r>
    <r>
      <rPr>
        <sz val="10"/>
        <rFont val="Noto Sans CJK SC"/>
        <family val="2"/>
      </rPr>
      <t xml:space="preserve">레이더 고장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상태에서 무유도 투하가 필요할 때</t>
    </r>
  </si>
  <si>
    <t xml:space="preserve">1-440</t>
  </si>
  <si>
    <t xml:space="preserve">AG-08</t>
  </si>
  <si>
    <r>
      <rPr>
        <sz val="10"/>
        <rFont val="Noto Sans CJK SC"/>
        <family val="2"/>
      </rPr>
      <t xml:space="preserve">스트레이프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기총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</si>
  <si>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Strafe Procedures</t>
  </si>
  <si>
    <r>
      <rPr>
        <sz val="10"/>
        <rFont val="Noto Sans CJK SC"/>
        <family val="2"/>
      </rPr>
      <t xml:space="preserve">지상 표적 육안 식별 후 다이브 진입</t>
    </r>
    <r>
      <rPr>
        <sz val="10"/>
        <rFont val="Malgun Gothic"/>
        <family val="0"/>
        <charset val="1"/>
      </rPr>
      <t xml:space="preserve">, Ranging Reticle</t>
    </r>
    <r>
      <rPr>
        <sz val="10"/>
        <rFont val="Noto Sans CJK SC"/>
        <family val="2"/>
      </rPr>
      <t xml:space="preserve">이 설정 </t>
    </r>
    <r>
      <rPr>
        <sz val="10"/>
        <rFont val="Malgun Gothic"/>
        <family val="0"/>
        <charset val="1"/>
      </rPr>
      <t xml:space="preserve">In-Range </t>
    </r>
    <r>
      <rPr>
        <sz val="10"/>
        <rFont val="Noto Sans CJK SC"/>
        <family val="2"/>
      </rPr>
      <t xml:space="preserve">거리에 도달 시</t>
    </r>
  </si>
  <si>
    <r>
      <rPr>
        <sz val="10"/>
        <rFont val="Malgun Gothic"/>
        <family val="0"/>
        <charset val="1"/>
      </rPr>
      <t xml:space="preserve">FCR ON → A-G → SMS GUN/STRF/In-Range </t>
    </r>
    <r>
      <rPr>
        <sz val="10"/>
        <rFont val="Noto Sans CJK SC"/>
        <family val="2"/>
      </rPr>
      <t xml:space="preserve">거리 → </t>
    </r>
    <r>
      <rPr>
        <sz val="10"/>
        <rFont val="Malgun Gothic"/>
        <family val="0"/>
        <charset val="1"/>
      </rPr>
      <t xml:space="preserve">MASTER ARM → </t>
    </r>
    <r>
      <rPr>
        <sz val="10"/>
        <rFont val="Noto Sans CJK SC"/>
        <family val="2"/>
      </rPr>
      <t xml:space="preserve">다이브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피퍼 정렬 → </t>
    </r>
    <r>
      <rPr>
        <sz val="10"/>
        <rFont val="Malgun Gothic"/>
        <family val="0"/>
        <charset val="1"/>
      </rPr>
      <t xml:space="preserve">In-Range → </t>
    </r>
    <r>
      <rPr>
        <sz val="10"/>
        <rFont val="Noto Sans CJK SC"/>
        <family val="2"/>
      </rPr>
      <t xml:space="preserve">트리거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단</t>
    </r>
  </si>
  <si>
    <t xml:space="preserve">1-441</t>
  </si>
  <si>
    <t xml:space="preserve">AG-10</t>
  </si>
  <si>
    <r>
      <rPr>
        <sz val="10"/>
        <rFont val="Noto Sans CJK SC"/>
        <family val="2"/>
      </rPr>
      <t xml:space="preserve">시각</t>
    </r>
    <r>
      <rPr>
        <sz val="10"/>
        <rFont val="Malgun Gothic"/>
        <family val="0"/>
        <charset val="1"/>
      </rPr>
      <t xml:space="preserve">(VIS) EO AGM-65 </t>
    </r>
    <r>
      <rPr>
        <sz val="10"/>
        <rFont val="Noto Sans CJK SC"/>
        <family val="2"/>
      </rPr>
      <t xml:space="preserve">투하 절차</t>
    </r>
  </si>
  <si>
    <t xml:space="preserve">Visual (VIS) EO AGM-65 Delivery Procedures</t>
  </si>
  <si>
    <r>
      <rPr>
        <sz val="10"/>
        <rFont val="Noto Sans CJK SC"/>
        <family val="2"/>
      </rPr>
      <t xml:space="preserve">표적 육안 확보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연막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랜드마크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미장착 상태에서 </t>
    </r>
    <r>
      <rPr>
        <sz val="10"/>
        <rFont val="Malgun Gothic"/>
        <family val="0"/>
        <charset val="1"/>
      </rPr>
      <t xml:space="preserve">AGM-65 </t>
    </r>
    <r>
      <rPr>
        <sz val="10"/>
        <rFont val="Noto Sans CJK SC"/>
        <family val="2"/>
      </rPr>
      <t xml:space="preserve">사거리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7.5nm) </t>
    </r>
    <r>
      <rPr>
        <sz val="10"/>
        <rFont val="Noto Sans CJK SC"/>
        <family val="2"/>
      </rPr>
      <t xml:space="preserve">진입 시</t>
    </r>
  </si>
  <si>
    <r>
      <rPr>
        <sz val="10"/>
        <rFont val="Malgun Gothic"/>
        <family val="0"/>
        <charset val="1"/>
      </rPr>
      <t xml:space="preserve">A-G → SMS AG65/PWR/VIS → MASTER ARM → 3</t>
    </r>
    <r>
      <rPr>
        <sz val="10"/>
        <rFont val="Noto Sans CJK SC"/>
        <family val="2"/>
      </rPr>
      <t xml:space="preserve">분 냉각 → </t>
    </r>
    <r>
      <rPr>
        <sz val="10"/>
        <rFont val="Malgun Gothic"/>
        <family val="0"/>
        <charset val="1"/>
      </rPr>
      <t xml:space="preserve">DMS UP(HUD SOI) → TD Box </t>
    </r>
    <r>
      <rPr>
        <sz val="10"/>
        <rFont val="Noto Sans CJK SC"/>
        <family val="2"/>
      </rPr>
      <t xml:space="preserve">슬루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지정 → </t>
    </r>
    <r>
      <rPr>
        <sz val="10"/>
        <rFont val="Malgun Gothic"/>
        <family val="0"/>
        <charset val="1"/>
      </rPr>
      <t xml:space="preserve">DMS DOWN(WPN SOI) → </t>
    </r>
    <r>
      <rPr>
        <sz val="10"/>
        <rFont val="Noto Sans CJK SC"/>
        <family val="2"/>
      </rPr>
      <t xml:space="preserve">극성</t>
    </r>
    <r>
      <rPr>
        <sz val="10"/>
        <rFont val="Malgun Gothic"/>
        <family val="0"/>
        <charset val="1"/>
      </rPr>
      <t xml:space="preserve">/FOV → </t>
    </r>
    <r>
      <rPr>
        <sz val="10"/>
        <rFont val="Noto Sans CJK SC"/>
        <family val="2"/>
      </rPr>
      <t xml:space="preserve">게이트 슬루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락 → </t>
    </r>
    <r>
      <rPr>
        <sz val="10"/>
        <rFont val="Malgun Gothic"/>
        <family val="0"/>
        <charset val="1"/>
      </rPr>
      <t xml:space="preserve">WPN REL</t>
    </r>
  </si>
  <si>
    <t xml:space="preserve">1-445</t>
  </si>
  <si>
    <t xml:space="preserve">AG-11</t>
  </si>
  <si>
    <r>
      <rPr>
        <sz val="10"/>
        <rFont val="Malgun Gothic"/>
        <family val="0"/>
        <charset val="1"/>
      </rPr>
      <t xml:space="preserve">EO PRE(</t>
    </r>
    <r>
      <rPr>
        <sz val="10"/>
        <rFont val="Noto Sans CJK SC"/>
        <family val="2"/>
      </rPr>
      <t xml:space="preserve">사전계획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서브모드 절차</t>
    </r>
  </si>
  <si>
    <t xml:space="preserve">EO PRE Submode Procedures</t>
  </si>
  <si>
    <r>
      <rPr>
        <sz val="10"/>
        <rFont val="Noto Sans CJK SC"/>
        <family val="2"/>
      </rPr>
      <t xml:space="preserve">표적 스티어포인트 접근</t>
    </r>
    <r>
      <rPr>
        <sz val="10"/>
        <rFont val="Malgun Gothic"/>
        <family val="0"/>
        <charset val="1"/>
      </rPr>
      <t xml:space="preserve">, FCR GM/GMT</t>
    </r>
    <r>
      <rPr>
        <sz val="10"/>
        <rFont val="Noto Sans CJK SC"/>
        <family val="2"/>
      </rPr>
      <t xml:space="preserve">에서 표적 반사 식별 후 사거리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7.5nm) </t>
    </r>
    <r>
      <rPr>
        <sz val="10"/>
        <rFont val="Noto Sans CJK SC"/>
        <family val="2"/>
      </rPr>
      <t xml:space="preserve">진입 시</t>
    </r>
  </si>
  <si>
    <r>
      <rPr>
        <sz val="10"/>
        <rFont val="Malgun Gothic"/>
        <family val="0"/>
        <charset val="1"/>
      </rPr>
      <t xml:space="preserve">FCR ON → A-G → FCR GM/GMT → SMS AG65/PWR/PRE → MASTER ARM → 3</t>
    </r>
    <r>
      <rPr>
        <sz val="10"/>
        <rFont val="Noto Sans CJK SC"/>
        <family val="2"/>
      </rPr>
      <t xml:space="preserve">분 냉각 → </t>
    </r>
    <r>
      <rPr>
        <sz val="10"/>
        <rFont val="Malgun Gothic"/>
        <family val="0"/>
        <charset val="1"/>
      </rPr>
      <t xml:space="preserve">DMS(FCR SOI) → </t>
    </r>
    <r>
      <rPr>
        <sz val="10"/>
        <rFont val="Noto Sans CJK SC"/>
        <family val="2"/>
      </rPr>
      <t xml:space="preserve">커서 슬루 → </t>
    </r>
    <r>
      <rPr>
        <sz val="10"/>
        <rFont val="Malgun Gothic"/>
        <family val="0"/>
        <charset val="1"/>
      </rPr>
      <t xml:space="preserve">TMS UP(FTT) → DMS(WPN SOI) → </t>
    </r>
    <r>
      <rPr>
        <sz val="10"/>
        <rFont val="Noto Sans CJK SC"/>
        <family val="2"/>
      </rPr>
      <t xml:space="preserve">게이트 슬루</t>
    </r>
    <r>
      <rPr>
        <sz val="10"/>
        <rFont val="Malgun Gothic"/>
        <family val="0"/>
        <charset val="1"/>
      </rPr>
      <t xml:space="preserve">/FOV → TMS UP </t>
    </r>
    <r>
      <rPr>
        <sz val="10"/>
        <rFont val="Noto Sans CJK SC"/>
        <family val="2"/>
      </rPr>
      <t xml:space="preserve">락 → </t>
    </r>
    <r>
      <rPr>
        <sz val="10"/>
        <rFont val="Malgun Gothic"/>
        <family val="0"/>
        <charset val="1"/>
      </rPr>
      <t xml:space="preserve">WPN REL</t>
    </r>
  </si>
  <si>
    <t xml:space="preserve">1-448</t>
  </si>
  <si>
    <t xml:space="preserve">AG-12</t>
  </si>
  <si>
    <r>
      <rPr>
        <sz val="10"/>
        <rFont val="Malgun Gothic"/>
        <family val="0"/>
        <charset val="1"/>
      </rPr>
      <t xml:space="preserve">EO BORE(</t>
    </r>
    <r>
      <rPr>
        <sz val="10"/>
        <rFont val="Noto Sans CJK SC"/>
        <family val="2"/>
      </rPr>
      <t xml:space="preserve">보어사이트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서브모드 절차</t>
    </r>
  </si>
  <si>
    <t xml:space="preserve">EO BORE Submode Procedures</t>
  </si>
  <si>
    <r>
      <rPr>
        <sz val="10"/>
        <rFont val="Malgun Gothic"/>
        <family val="0"/>
        <charset val="1"/>
      </rPr>
      <t xml:space="preserve">TGP/FCR </t>
    </r>
    <r>
      <rPr>
        <sz val="10"/>
        <rFont val="Noto Sans CJK SC"/>
        <family val="2"/>
      </rPr>
      <t xml:space="preserve">트랙을 유지한 채 기회표적</t>
    </r>
    <r>
      <rPr>
        <sz val="10"/>
        <rFont val="Malgun Gothic"/>
        <family val="0"/>
        <charset val="1"/>
      </rPr>
      <t xml:space="preserve">(target of opportunity) </t>
    </r>
    <r>
      <rPr>
        <sz val="10"/>
        <rFont val="Noto Sans CJK SC"/>
        <family val="2"/>
      </rPr>
      <t xml:space="preserve">발견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미장착 상태에서 신속 교전 시</t>
    </r>
  </si>
  <si>
    <r>
      <rPr>
        <sz val="10"/>
        <rFont val="Malgun Gothic"/>
        <family val="0"/>
        <charset val="1"/>
      </rPr>
      <t xml:space="preserve">A-G → SMS AG65/PWR/BORE → MASTER ARM → 3</t>
    </r>
    <r>
      <rPr>
        <sz val="10"/>
        <rFont val="Noto Sans CJK SC"/>
        <family val="2"/>
      </rPr>
      <t xml:space="preserve">분 냉각 → 기수로 레티클 정렬 → </t>
    </r>
    <r>
      <rPr>
        <sz val="10"/>
        <rFont val="Malgun Gothic"/>
        <family val="0"/>
        <charset val="1"/>
      </rPr>
      <t xml:space="preserve">DMS(WPN SOI) → </t>
    </r>
    <r>
      <rPr>
        <sz val="10"/>
        <rFont val="Noto Sans CJK SC"/>
        <family val="2"/>
      </rPr>
      <t xml:space="preserve">극성</t>
    </r>
    <r>
      <rPr>
        <sz val="10"/>
        <rFont val="Malgun Gothic"/>
        <family val="0"/>
        <charset val="1"/>
      </rPr>
      <t xml:space="preserve">/FOV → </t>
    </r>
    <r>
      <rPr>
        <sz val="10"/>
        <rFont val="Noto Sans CJK SC"/>
        <family val="2"/>
      </rPr>
      <t xml:space="preserve">레티클 슬루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락 → </t>
    </r>
    <r>
      <rPr>
        <sz val="10"/>
        <rFont val="Malgun Gothic"/>
        <family val="0"/>
        <charset val="1"/>
      </rPr>
      <t xml:space="preserve">WPN REL</t>
    </r>
  </si>
  <si>
    <t xml:space="preserve">1-449</t>
  </si>
  <si>
    <t xml:space="preserve">AG-13</t>
  </si>
  <si>
    <r>
      <rPr>
        <sz val="10"/>
        <rFont val="Malgun Gothic"/>
        <family val="0"/>
        <charset val="1"/>
      </rPr>
      <t xml:space="preserve">EO </t>
    </r>
    <r>
      <rPr>
        <sz val="10"/>
        <rFont val="Noto Sans CJK SC"/>
        <family val="2"/>
      </rPr>
      <t xml:space="preserve">타겟팅 포드</t>
    </r>
    <r>
      <rPr>
        <sz val="10"/>
        <rFont val="Malgun Gothic"/>
        <family val="0"/>
        <charset val="1"/>
      </rPr>
      <t xml:space="preserve">(AGM-65 </t>
    </r>
    <r>
      <rPr>
        <sz val="10"/>
        <rFont val="Noto Sans CJK SC"/>
        <family val="2"/>
      </rPr>
      <t xml:space="preserve">핸드오프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</si>
  <si>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EO Targeting Pod (AGM-65 Handoff) Procedures</t>
  </si>
  <si>
    <r>
      <rPr>
        <sz val="10"/>
        <rFont val="Malgun Gothic"/>
        <family val="0"/>
        <charset val="1"/>
      </rPr>
      <t xml:space="preserve">TGP</t>
    </r>
    <r>
      <rPr>
        <sz val="10"/>
        <rFont val="Noto Sans CJK SC"/>
        <family val="2"/>
      </rPr>
      <t xml:space="preserve">로 표적 식별 완료 후 </t>
    </r>
    <r>
      <rPr>
        <sz val="10"/>
        <rFont val="Malgun Gothic"/>
        <family val="0"/>
        <charset val="1"/>
      </rPr>
      <t xml:space="preserve">AGM-65 </t>
    </r>
    <r>
      <rPr>
        <sz val="10"/>
        <rFont val="Noto Sans CJK SC"/>
        <family val="2"/>
      </rPr>
      <t xml:space="preserve">사거리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7.5nm) </t>
    </r>
    <r>
      <rPr>
        <sz val="10"/>
        <rFont val="Noto Sans CJK SC"/>
        <family val="2"/>
      </rPr>
      <t xml:space="preserve">진입 시</t>
    </r>
  </si>
  <si>
    <r>
      <rPr>
        <sz val="10"/>
        <rFont val="Malgun Gothic"/>
        <family val="0"/>
        <charset val="1"/>
      </rPr>
      <t xml:space="preserve">A-G → RIGHT HDPT/TGP A-G → SMS AG65/PWR/PRE → MASTER ARM/LASER ARM → 3</t>
    </r>
    <r>
      <rPr>
        <sz val="10"/>
        <rFont val="Noto Sans CJK SC"/>
        <family val="2"/>
      </rPr>
      <t xml:space="preserve">분 냉각 → </t>
    </r>
    <r>
      <rPr>
        <sz val="10"/>
        <rFont val="Malgun Gothic"/>
        <family val="0"/>
        <charset val="1"/>
      </rPr>
      <t xml:space="preserve">TGP SOI·AUTO → </t>
    </r>
    <r>
      <rPr>
        <sz val="10"/>
        <rFont val="Noto Sans CJK SC"/>
        <family val="2"/>
      </rPr>
      <t xml:space="preserve">십자선 슬루 → </t>
    </r>
    <r>
      <rPr>
        <sz val="10"/>
        <rFont val="Malgun Gothic"/>
        <family val="0"/>
        <charset val="1"/>
      </rPr>
      <t xml:space="preserve">TMS UP(Point) → HANDOFF C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WPN REL</t>
    </r>
  </si>
  <si>
    <t xml:space="preserve">1-450</t>
  </si>
  <si>
    <t xml:space="preserve">AG-18</t>
  </si>
  <si>
    <r>
      <rPr>
        <sz val="10"/>
        <rFont val="Noto Sans CJK SC"/>
        <family val="2"/>
      </rPr>
      <t xml:space="preserve">델타 폭탄사거리</t>
    </r>
    <r>
      <rPr>
        <sz val="10"/>
        <rFont val="Malgun Gothic"/>
        <family val="0"/>
        <charset val="1"/>
      </rPr>
      <t xml:space="preserve">(DRNG) </t>
    </r>
    <r>
      <rPr>
        <sz val="10"/>
        <rFont val="Noto Sans CJK SC"/>
        <family val="2"/>
      </rPr>
      <t xml:space="preserve">절차</t>
    </r>
  </si>
  <si>
    <t xml:space="preserve">Delta Bomb Range (DRNG) Procedures</t>
  </si>
  <si>
    <r>
      <rPr>
        <sz val="10"/>
        <rFont val="Noto Sans CJK SC"/>
        <family val="2"/>
      </rPr>
      <t xml:space="preserve">첫 패스 탄착 관측 후 재공격 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브리핑된 시스템 오프셋 보정값 적용 시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</si>
  <si>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— </t>
    </r>
    <r>
      <rPr>
        <sz val="10"/>
        <rFont val="Noto Sans CJK SC"/>
        <family val="2"/>
      </rPr>
      <t xml:space="preserve">대안</t>
    </r>
    <r>
      <rPr>
        <sz val="10"/>
        <rFont val="Malgun Gothic"/>
        <family val="0"/>
        <charset val="1"/>
      </rPr>
      <t xml:space="preserve">: SPI </t>
    </r>
    <r>
      <rPr>
        <sz val="10"/>
        <rFont val="Noto Sans CJK SC"/>
        <family val="2"/>
      </rPr>
      <t xml:space="preserve">재지정</t>
    </r>
    <r>
      <rPr>
        <sz val="10"/>
        <rFont val="Malgun Gothic"/>
        <family val="0"/>
        <charset val="1"/>
      </rPr>
      <t xml:space="preserve">/STPT </t>
    </r>
    <r>
      <rPr>
        <sz val="10"/>
        <rFont val="Noto Sans CJK SC"/>
        <family val="2"/>
      </rPr>
      <t xml:space="preserve">좌표 수정</t>
    </r>
  </si>
  <si>
    <t xml:space="preserve">1-455</t>
  </si>
  <si>
    <t xml:space="preserve">AG-19</t>
  </si>
  <si>
    <r>
      <rPr>
        <sz val="10"/>
        <rFont val="Malgun Gothic"/>
        <family val="0"/>
        <charset val="1"/>
      </rPr>
      <t xml:space="preserve">AGM-88 </t>
    </r>
    <r>
      <rPr>
        <sz val="10"/>
        <rFont val="Noto Sans CJK SC"/>
        <family val="2"/>
      </rPr>
      <t xml:space="preserve">위치기지</t>
    </r>
    <r>
      <rPr>
        <sz val="10"/>
        <rFont val="Malgun Gothic"/>
        <family val="0"/>
        <charset val="1"/>
      </rPr>
      <t xml:space="preserve">(POS) </t>
    </r>
    <r>
      <rPr>
        <sz val="10"/>
        <rFont val="Noto Sans CJK SC"/>
        <family val="2"/>
      </rPr>
      <t xml:space="preserve">모드</t>
    </r>
    <r>
      <rPr>
        <sz val="10"/>
        <rFont val="Malgun Gothic"/>
        <family val="0"/>
        <charset val="1"/>
      </rPr>
      <t xml:space="preserve">(EOM/RUK/PB) </t>
    </r>
    <r>
      <rPr>
        <sz val="10"/>
        <rFont val="Noto Sans CJK SC"/>
        <family val="2"/>
      </rPr>
      <t xml:space="preserve">절차</t>
    </r>
  </si>
  <si>
    <t xml:space="preserve">AGM-88 Position Known (POS) Mode (EOM/RUK/PB) Procedures</t>
  </si>
  <si>
    <r>
      <rPr>
        <sz val="10"/>
        <rFont val="Noto Sans CJK SC"/>
        <family val="2"/>
      </rPr>
      <t xml:space="preserve">표적 스티어포인트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HTS/HAD </t>
    </r>
    <r>
      <rPr>
        <sz val="10"/>
        <rFont val="Noto Sans CJK SC"/>
        <family val="2"/>
      </rPr>
      <t xml:space="preserve">지정점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접근</t>
    </r>
    <r>
      <rPr>
        <sz val="10"/>
        <rFont val="Malgun Gothic"/>
        <family val="0"/>
        <charset val="1"/>
      </rPr>
      <t xml:space="preserve">, HLS</t>
    </r>
    <r>
      <rPr>
        <sz val="10"/>
        <rFont val="Noto Sans CJK SC"/>
        <family val="2"/>
      </rPr>
      <t xml:space="preserve">의 </t>
    </r>
    <r>
      <rPr>
        <sz val="10"/>
        <rFont val="Malgun Gothic"/>
        <family val="0"/>
        <charset val="1"/>
      </rPr>
      <t xml:space="preserve">AMZ/MMZ </t>
    </r>
    <r>
      <rPr>
        <sz val="10"/>
        <rFont val="Noto Sans CJK SC"/>
        <family val="2"/>
      </rPr>
      <t xml:space="preserve">진입 시</t>
    </r>
  </si>
  <si>
    <r>
      <rPr>
        <sz val="10"/>
        <rFont val="Malgun Gothic"/>
        <family val="0"/>
        <charset val="1"/>
      </rPr>
      <t xml:space="preserve">A-G → SMS AG88/PWR → WPN POS(EOM/RUK/PB) → MASTER ARM → STPT/HAD </t>
    </r>
    <r>
      <rPr>
        <sz val="10"/>
        <rFont val="Noto Sans CJK SC"/>
        <family val="2"/>
      </rPr>
      <t xml:space="preserve">지정 → </t>
    </r>
    <r>
      <rPr>
        <sz val="10"/>
        <rFont val="Malgun Gothic"/>
        <family val="0"/>
        <charset val="1"/>
      </rPr>
      <t xml:space="preserve">TBL/</t>
    </r>
    <r>
      <rPr>
        <sz val="10"/>
        <rFont val="Noto Sans CJK SC"/>
        <family val="2"/>
      </rPr>
      <t xml:space="preserve">방사원 선택 → </t>
    </r>
    <r>
      <rPr>
        <sz val="10"/>
        <rFont val="Malgun Gothic"/>
        <family val="0"/>
        <charset val="1"/>
      </rPr>
      <t xml:space="preserve">AMZ→MMZ → </t>
    </r>
    <r>
      <rPr>
        <sz val="10"/>
        <rFont val="Noto Sans CJK SC"/>
        <family val="2"/>
      </rPr>
      <t xml:space="preserve">로프트 큐 정렬 → </t>
    </r>
    <r>
      <rPr>
        <sz val="10"/>
        <rFont val="Malgun Gothic"/>
        <family val="0"/>
        <charset val="1"/>
      </rPr>
      <t xml:space="preserve">FOV </t>
    </r>
    <r>
      <rPr>
        <sz val="10"/>
        <rFont val="Noto Sans CJK SC"/>
        <family val="2"/>
      </rPr>
      <t xml:space="preserve">박스 점멸 → </t>
    </r>
    <r>
      <rPr>
        <sz val="10"/>
        <rFont val="Malgun Gothic"/>
        <family val="0"/>
        <charset val="1"/>
      </rPr>
      <t xml:space="preserve">WPN REL</t>
    </r>
  </si>
  <si>
    <t xml:space="preserve">1-465</t>
  </si>
  <si>
    <t xml:space="preserve">AG-20</t>
  </si>
  <si>
    <r>
      <rPr>
        <sz val="10"/>
        <rFont val="Malgun Gothic"/>
        <family val="0"/>
        <charset val="1"/>
      </rPr>
      <t xml:space="preserve">HARM </t>
    </r>
    <r>
      <rPr>
        <sz val="10"/>
        <rFont val="Noto Sans CJK SC"/>
        <family val="2"/>
      </rPr>
      <t xml:space="preserve">센서 모드</t>
    </r>
    <r>
      <rPr>
        <sz val="10"/>
        <rFont val="Malgun Gothic"/>
        <family val="0"/>
        <charset val="1"/>
      </rPr>
      <t xml:space="preserve">(HAS) </t>
    </r>
    <r>
      <rPr>
        <sz val="10"/>
        <rFont val="Noto Sans CJK SC"/>
        <family val="2"/>
      </rPr>
      <t xml:space="preserve">절차</t>
    </r>
  </si>
  <si>
    <t xml:space="preserve">HARM as Sensor (HAS) Mode Procedures</t>
  </si>
  <si>
    <r>
      <rPr>
        <sz val="10"/>
        <rFont val="Malgun Gothic"/>
        <family val="0"/>
        <charset val="1"/>
      </rPr>
      <t xml:space="preserve">RWR</t>
    </r>
    <r>
      <rPr>
        <sz val="10"/>
        <rFont val="Noto Sans CJK SC"/>
        <family val="2"/>
      </rPr>
      <t xml:space="preserve">에 위협 방사원 탐지 또는 예상 </t>
    </r>
    <r>
      <rPr>
        <sz val="10"/>
        <rFont val="Malgun Gothic"/>
        <family val="0"/>
        <charset val="1"/>
      </rPr>
      <t xml:space="preserve">SAM </t>
    </r>
    <r>
      <rPr>
        <sz val="10"/>
        <rFont val="Noto Sans CJK SC"/>
        <family val="2"/>
      </rPr>
      <t xml:space="preserve">지역 진입 시</t>
    </r>
    <r>
      <rPr>
        <sz val="10"/>
        <rFont val="Malgun Gothic"/>
        <family val="0"/>
        <charset val="1"/>
      </rPr>
      <t xml:space="preserve">, HAS </t>
    </r>
    <r>
      <rPr>
        <sz val="10"/>
        <rFont val="Noto Sans CJK SC"/>
        <family val="2"/>
      </rPr>
      <t xml:space="preserve">페이지에 방사원 심볼 표시 시</t>
    </r>
  </si>
  <si>
    <r>
      <rPr>
        <sz val="10"/>
        <rFont val="Malgun Gothic"/>
        <family val="0"/>
        <charset val="1"/>
      </rPr>
      <t xml:space="preserve">A-G → SMS AG88/PWR → WPN HAS/DMS SOI → MASTER ARM → TBL 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/SRCH </t>
    </r>
    <r>
      <rPr>
        <sz val="10"/>
        <rFont val="Noto Sans CJK SC"/>
        <family val="2"/>
      </rPr>
      <t xml:space="preserve">필터 → </t>
    </r>
    <r>
      <rPr>
        <sz val="10"/>
        <rFont val="Malgun Gothic"/>
        <family val="0"/>
        <charset val="1"/>
      </rPr>
      <t xml:space="preserve">FOV → </t>
    </r>
    <r>
      <rPr>
        <sz val="10"/>
        <rFont val="Noto Sans CJK SC"/>
        <family val="2"/>
      </rPr>
      <t xml:space="preserve">커서 방사원 → </t>
    </r>
    <r>
      <rPr>
        <sz val="10"/>
        <rFont val="Malgun Gothic"/>
        <family val="0"/>
        <charset val="1"/>
      </rPr>
      <t xml:space="preserve">TMS UP </t>
    </r>
    <r>
      <rPr>
        <sz val="10"/>
        <rFont val="Noto Sans CJK SC"/>
        <family val="2"/>
      </rPr>
      <t xml:space="preserve">핸드오프 → </t>
    </r>
    <r>
      <rPr>
        <sz val="10"/>
        <rFont val="Malgun Gothic"/>
        <family val="0"/>
        <charset val="1"/>
      </rPr>
      <t xml:space="preserve">RDY → WPN REL</t>
    </r>
  </si>
  <si>
    <t xml:space="preserve">1-466</t>
  </si>
  <si>
    <r>
      <rPr>
        <b val="true"/>
        <sz val="10"/>
        <rFont val="Malgun Gothic"/>
        <family val="0"/>
        <charset val="1"/>
      </rPr>
      <t xml:space="preserve">■ P13  </t>
    </r>
    <r>
      <rPr>
        <b val="true"/>
        <sz val="10"/>
        <rFont val="Noto Sans CJK SC"/>
        <family val="2"/>
      </rPr>
      <t xml:space="preserve">방어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회피  </t>
    </r>
    <r>
      <rPr>
        <b val="true"/>
        <sz val="10"/>
        <rFont val="Malgun Gothic"/>
        <family val="0"/>
        <charset val="1"/>
      </rPr>
      <t xml:space="preserve">(Defensive / Countermeasures) — RWR </t>
    </r>
    <r>
      <rPr>
        <b val="true"/>
        <sz val="10"/>
        <rFont val="Noto Sans CJK SC"/>
        <family val="2"/>
      </rPr>
      <t xml:space="preserve">대응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채프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플레어</t>
    </r>
    <r>
      <rPr>
        <b val="true"/>
        <sz val="10"/>
        <rFont val="Malgun Gothic"/>
        <family val="0"/>
        <charset val="1"/>
      </rPr>
      <t xml:space="preserve">, ECM.</t>
    </r>
  </si>
  <si>
    <t xml:space="preserve">P13</t>
  </si>
  <si>
    <r>
      <rPr>
        <sz val="10"/>
        <rFont val="Noto Sans CJK SC"/>
        <family val="2"/>
      </rPr>
      <t xml:space="preserve">방어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회피</t>
    </r>
  </si>
  <si>
    <t xml:space="preserve">SD-08</t>
  </si>
  <si>
    <r>
      <rPr>
        <sz val="10"/>
        <rFont val="Noto Sans CJK SC"/>
        <family val="2"/>
      </rPr>
      <t xml:space="preserve">채프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플레어 투발장치</t>
    </r>
    <r>
      <rPr>
        <sz val="10"/>
        <rFont val="Malgun Gothic"/>
        <family val="0"/>
        <charset val="1"/>
      </rPr>
      <t xml:space="preserve">(CMDS) </t>
    </r>
    <r>
      <rPr>
        <sz val="10"/>
        <rFont val="Noto Sans CJK SC"/>
        <family val="2"/>
      </rPr>
      <t xml:space="preserve">운용</t>
    </r>
  </si>
  <si>
    <t xml:space="preserve">Countermeasures Dispensing Set (CMDS) Operation</t>
  </si>
  <si>
    <r>
      <rPr>
        <sz val="10"/>
        <rFont val="Malgun Gothic"/>
        <family val="0"/>
        <charset val="1"/>
      </rPr>
      <t xml:space="preserve">RWR </t>
    </r>
    <r>
      <rPr>
        <sz val="10"/>
        <rFont val="Noto Sans CJK SC"/>
        <family val="2"/>
      </rPr>
      <t xml:space="preserve">락온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미사일 발사 경고</t>
    </r>
    <r>
      <rPr>
        <sz val="10"/>
        <rFont val="Malgun Gothic"/>
        <family val="0"/>
        <charset val="1"/>
      </rPr>
      <t xml:space="preserve">(LAUNCH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발사경보음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육안 미사일 발견 시 </t>
    </r>
    <r>
      <rPr>
        <sz val="10"/>
        <rFont val="Malgun Gothic"/>
        <family val="0"/>
        <charset val="1"/>
      </rPr>
      <t xml:space="preserve">/ Fence-In </t>
    </r>
    <r>
      <rPr>
        <sz val="10"/>
        <rFont val="Noto Sans CJK SC"/>
        <family val="2"/>
      </rPr>
      <t xml:space="preserve">시 </t>
    </r>
    <r>
      <rPr>
        <sz val="10"/>
        <rFont val="Malgun Gothic"/>
        <family val="0"/>
        <charset val="1"/>
      </rPr>
      <t xml:space="preserve">CMDS </t>
    </r>
    <r>
      <rPr>
        <sz val="10"/>
        <rFont val="Noto Sans CJK SC"/>
        <family val="2"/>
      </rPr>
      <t xml:space="preserve">모드 설정</t>
    </r>
  </si>
  <si>
    <r>
      <rPr>
        <sz val="10"/>
        <rFont val="Malgun Gothic"/>
        <family val="0"/>
        <charset val="1"/>
      </rPr>
      <t xml:space="preserve">RWR PWR → CMDS RWR/JMR ON → CH/FL ON → Mode(MAN/SEMI/AUTO) → PRGM 1~4 → </t>
    </r>
    <r>
      <rPr>
        <sz val="10"/>
        <rFont val="Noto Sans CJK SC"/>
        <family val="2"/>
      </rPr>
      <t xml:space="preserve">투발</t>
    </r>
    <r>
      <rPr>
        <sz val="10"/>
        <rFont val="Malgun Gothic"/>
        <family val="0"/>
        <charset val="1"/>
      </rPr>
      <t xml:space="preserve">: CMS FWD(</t>
    </r>
    <r>
      <rPr>
        <sz val="10"/>
        <rFont val="Noto Sans CJK SC"/>
        <family val="2"/>
      </rPr>
      <t xml:space="preserve">수동</t>
    </r>
    <r>
      <rPr>
        <sz val="10"/>
        <rFont val="Malgun Gothic"/>
        <family val="0"/>
        <charset val="1"/>
      </rPr>
      <t xml:space="preserve">)/</t>
    </r>
    <r>
      <rPr>
        <sz val="10"/>
        <rFont val="Noto Sans CJK SC"/>
        <family val="2"/>
      </rPr>
      <t xml:space="preserve">슬랩</t>
    </r>
    <r>
      <rPr>
        <sz val="10"/>
        <rFont val="Malgun Gothic"/>
        <family val="0"/>
        <charset val="1"/>
      </rPr>
      <t xml:space="preserve">(PRG5)/CMS AFT(SEMI </t>
    </r>
    <r>
      <rPr>
        <sz val="10"/>
        <rFont val="Noto Sans CJK SC"/>
        <family val="2"/>
      </rPr>
      <t xml:space="preserve">동의</t>
    </r>
    <r>
      <rPr>
        <sz val="10"/>
        <rFont val="Malgun Gothic"/>
        <family val="0"/>
        <charset val="1"/>
      </rPr>
      <t xml:space="preserve">·AUTO </t>
    </r>
    <r>
      <rPr>
        <sz val="10"/>
        <rFont val="Noto Sans CJK SC"/>
        <family val="2"/>
      </rPr>
      <t xml:space="preserve">활성</t>
    </r>
    <r>
      <rPr>
        <sz val="10"/>
        <rFont val="Malgun Gothic"/>
        <family val="0"/>
        <charset val="1"/>
      </rPr>
      <t xml:space="preserve">)/CMS RIGHT(</t>
    </r>
    <r>
      <rPr>
        <sz val="10"/>
        <rFont val="Noto Sans CJK SC"/>
        <family val="2"/>
      </rPr>
      <t xml:space="preserve">자동 해제</t>
    </r>
    <r>
      <rPr>
        <sz val="10"/>
        <rFont val="Malgun Gothic"/>
        <family val="0"/>
        <charset val="1"/>
      </rPr>
      <t xml:space="preserve">)</t>
    </r>
  </si>
  <si>
    <t xml:space="preserve">1-204</t>
  </si>
  <si>
    <t xml:space="preserve">AG-21</t>
  </si>
  <si>
    <r>
      <rPr>
        <sz val="10"/>
        <rFont val="Noto Sans CJK SC"/>
        <family val="2"/>
      </rPr>
      <t xml:space="preserve">채프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플레어 시스템</t>
    </r>
    <r>
      <rPr>
        <sz val="10"/>
        <rFont val="Malgun Gothic"/>
        <family val="0"/>
        <charset val="1"/>
      </rPr>
      <t xml:space="preserve">(TACDS) </t>
    </r>
    <r>
      <rPr>
        <sz val="10"/>
        <rFont val="Noto Sans CJK SC"/>
        <family val="2"/>
      </rPr>
      <t xml:space="preserve">절차</t>
    </r>
  </si>
  <si>
    <t xml:space="preserve">Chaff/Flare System (TACDS) Procedures</t>
  </si>
  <si>
    <r>
      <rPr>
        <sz val="10"/>
        <rFont val="Malgun Gothic"/>
        <family val="0"/>
        <charset val="1"/>
      </rPr>
      <t xml:space="preserve">Fence-In </t>
    </r>
    <r>
      <rPr>
        <sz val="10"/>
        <rFont val="Noto Sans CJK SC"/>
        <family val="2"/>
      </rPr>
      <t xml:space="preserve">시 </t>
    </r>
    <r>
      <rPr>
        <sz val="10"/>
        <rFont val="Malgun Gothic"/>
        <family val="0"/>
        <charset val="1"/>
      </rPr>
      <t xml:space="preserve">CMDS </t>
    </r>
    <r>
      <rPr>
        <sz val="10"/>
        <rFont val="Noto Sans CJK SC"/>
        <family val="2"/>
      </rPr>
      <t xml:space="preserve">셋업 완료 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표적 지역 진입</t>
    </r>
    <r>
      <rPr>
        <sz val="10"/>
        <rFont val="Malgun Gothic"/>
        <family val="0"/>
        <charset val="1"/>
      </rPr>
      <t xml:space="preserve">(IP </t>
    </r>
    <r>
      <rPr>
        <sz val="10"/>
        <rFont val="Noto Sans CJK SC"/>
        <family val="2"/>
      </rPr>
      <t xml:space="preserve">통과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RWR </t>
    </r>
    <r>
      <rPr>
        <sz val="10"/>
        <rFont val="Noto Sans CJK SC"/>
        <family val="2"/>
      </rPr>
      <t xml:space="preserve">위협</t>
    </r>
    <r>
      <rPr>
        <sz val="10"/>
        <rFont val="Malgun Gothic"/>
        <family val="0"/>
        <charset val="1"/>
      </rPr>
      <t xml:space="preserve">·MANPADS </t>
    </r>
    <r>
      <rPr>
        <sz val="10"/>
        <rFont val="Noto Sans CJK SC"/>
        <family val="2"/>
      </rPr>
      <t xml:space="preserve">위험 구역에서 투발 필요 시</t>
    </r>
  </si>
  <si>
    <r>
      <rPr>
        <sz val="10"/>
        <rFont val="Malgun Gothic"/>
        <family val="0"/>
        <charset val="1"/>
      </rPr>
      <t xml:space="preserve">RWR PWR → CMDS RWR ON → Mode MAN/SEMI/AUTO → PRGM 1~4 → CH/FL ON → GO </t>
    </r>
    <r>
      <rPr>
        <sz val="10"/>
        <rFont val="Noto Sans CJK SC"/>
        <family val="2"/>
      </rPr>
      <t xml:space="preserve">확인 → 슬랩 버튼</t>
    </r>
    <r>
      <rPr>
        <sz val="10"/>
        <rFont val="Malgun Gothic"/>
        <family val="0"/>
        <charset val="1"/>
      </rPr>
      <t xml:space="preserve">/CMS FWD </t>
    </r>
    <r>
      <rPr>
        <sz val="10"/>
        <rFont val="Noto Sans CJK SC"/>
        <family val="2"/>
      </rPr>
      <t xml:space="preserve">투발 → 잔량 확인</t>
    </r>
  </si>
  <si>
    <t xml:space="preserve">1-467</t>
  </si>
  <si>
    <r>
      <rPr>
        <b val="true"/>
        <sz val="10"/>
        <rFont val="Malgun Gothic"/>
        <family val="0"/>
        <charset val="1"/>
      </rPr>
      <t xml:space="preserve">■ P14  </t>
    </r>
    <r>
      <rPr>
        <b val="true"/>
        <sz val="10"/>
        <rFont val="Noto Sans CJK SC"/>
        <family val="2"/>
      </rPr>
      <t xml:space="preserve">이탈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복귀 </t>
    </r>
    <r>
      <rPr>
        <b val="true"/>
        <sz val="10"/>
        <rFont val="Malgun Gothic"/>
        <family val="0"/>
        <charset val="1"/>
      </rPr>
      <t xml:space="preserve">(Fence-Out / RTB)  (Fence-Out / RTB) — </t>
    </r>
    <r>
      <rPr>
        <b val="true"/>
        <sz val="10"/>
        <rFont val="Noto Sans CJK SC"/>
        <family val="2"/>
      </rPr>
      <t xml:space="preserve">교전 이탈 후 무장 안전화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복귀 항법</t>
    </r>
    <r>
      <rPr>
        <b val="true"/>
        <sz val="10"/>
        <rFont val="Malgun Gothic"/>
        <family val="0"/>
        <charset val="1"/>
      </rPr>
      <t xml:space="preserve">.</t>
    </r>
  </si>
  <si>
    <t xml:space="preserve">P14</t>
  </si>
  <si>
    <r>
      <rPr>
        <sz val="10"/>
        <rFont val="Noto Sans CJK SC"/>
        <family val="2"/>
      </rPr>
      <t xml:space="preserve">이탈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복귀 </t>
    </r>
    <r>
      <rPr>
        <sz val="10"/>
        <rFont val="Malgun Gothic"/>
        <family val="0"/>
        <charset val="1"/>
      </rPr>
      <t xml:space="preserve">(Fence-Out / RTB)</t>
    </r>
  </si>
  <si>
    <t xml:space="preserve">MP-18</t>
  </si>
  <si>
    <r>
      <rPr>
        <sz val="10"/>
        <rFont val="Noto Sans CJK SC"/>
        <family val="2"/>
      </rPr>
      <t xml:space="preserve">크루즈 홈</t>
    </r>
    <r>
      <rPr>
        <sz val="10"/>
        <rFont val="Malgun Gothic"/>
        <family val="0"/>
        <charset val="1"/>
      </rPr>
      <t xml:space="preserve">(CRUS HOME) </t>
    </r>
    <r>
      <rPr>
        <sz val="10"/>
        <rFont val="Noto Sans CJK SC"/>
        <family val="2"/>
      </rPr>
      <t xml:space="preserve">옵션 절차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그림 </t>
    </r>
    <r>
      <rPr>
        <sz val="10"/>
        <rFont val="Malgun Gothic"/>
        <family val="0"/>
        <charset val="1"/>
      </rPr>
      <t xml:space="preserve">1-207)</t>
    </r>
  </si>
  <si>
    <t xml:space="preserve">Cruise Home (CRUS HOME) Option Procedures (Figure 1-207)</t>
  </si>
  <si>
    <r>
      <rPr>
        <sz val="10"/>
        <rFont val="Noto Sans CJK SC"/>
        <family val="2"/>
      </rPr>
      <t xml:space="preserve">임무 종료 후 </t>
    </r>
    <r>
      <rPr>
        <sz val="10"/>
        <rFont val="Malgun Gothic"/>
        <family val="0"/>
        <charset val="1"/>
      </rPr>
      <t xml:space="preserve">RTB </t>
    </r>
    <r>
      <rPr>
        <sz val="10"/>
        <rFont val="Noto Sans CJK SC"/>
        <family val="2"/>
      </rPr>
      <t xml:space="preserve">결정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연료 여유 판단</t>
    </r>
    <r>
      <rPr>
        <sz val="10"/>
        <rFont val="Malgun Gothic"/>
        <family val="0"/>
        <charset val="1"/>
      </rPr>
      <t xml:space="preserve">(JOKER/BINGO </t>
    </r>
    <r>
      <rPr>
        <sz val="10"/>
        <rFont val="Noto Sans CJK SC"/>
        <family val="2"/>
      </rPr>
      <t xml:space="preserve">접근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이 필요할 때</t>
    </r>
  </si>
  <si>
    <r>
      <rPr>
        <sz val="10"/>
        <rFont val="Malgun Gothic"/>
        <family val="0"/>
        <charset val="1"/>
      </rPr>
      <t xml:space="preserve">CNI → CRUS(5) → SEQ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HOME → M-SEL → HMPT </t>
    </r>
    <r>
      <rPr>
        <sz val="10"/>
        <rFont val="Noto Sans CJK SC"/>
        <family val="2"/>
      </rPr>
      <t xml:space="preserve">번호 입력 </t>
    </r>
    <r>
      <rPr>
        <sz val="10"/>
        <rFont val="Malgun Gothic"/>
        <family val="0"/>
        <charset val="1"/>
      </rPr>
      <t xml:space="preserve">ENTR → HUD Scales VAH → </t>
    </r>
    <r>
      <rPr>
        <sz val="10"/>
        <rFont val="Noto Sans CJK SC"/>
        <family val="2"/>
      </rPr>
      <t xml:space="preserve">속도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고도 캐럿 추종</t>
    </r>
  </si>
  <si>
    <t xml:space="preserve">1-307</t>
  </si>
  <si>
    <t xml:space="preserve">IF-05</t>
  </si>
  <si>
    <r>
      <rPr>
        <sz val="10"/>
        <rFont val="Noto Sans CJK SC"/>
        <family val="2"/>
      </rPr>
      <t xml:space="preserve">귀환지점 상공 최대 잔여연료</t>
    </r>
    <r>
      <rPr>
        <sz val="10"/>
        <rFont val="Malgun Gothic"/>
        <family val="0"/>
        <charset val="1"/>
      </rPr>
      <t xml:space="preserve">(HOME) </t>
    </r>
    <r>
      <rPr>
        <sz val="10"/>
        <rFont val="Noto Sans CJK SC"/>
        <family val="2"/>
      </rPr>
      <t xml:space="preserve">절차</t>
    </r>
  </si>
  <si>
    <t xml:space="preserve">Maximum Fuel Above Home (HOME) Procedures</t>
  </si>
  <si>
    <r>
      <rPr>
        <sz val="10"/>
        <rFont val="Malgun Gothic"/>
        <family val="0"/>
        <charset val="1"/>
      </rPr>
      <t xml:space="preserve">Fence-Out </t>
    </r>
    <r>
      <rPr>
        <sz val="10"/>
        <rFont val="Noto Sans CJK SC"/>
        <family val="2"/>
      </rPr>
      <t xml:space="preserve">후 </t>
    </r>
    <r>
      <rPr>
        <sz val="10"/>
        <rFont val="Malgun Gothic"/>
        <family val="0"/>
        <charset val="1"/>
      </rPr>
      <t xml:space="preserve">RTB </t>
    </r>
    <r>
      <rPr>
        <sz val="10"/>
        <rFont val="Noto Sans CJK SC"/>
        <family val="2"/>
      </rPr>
      <t xml:space="preserve">개시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연료 부족으로 최소연료 귀환 프로파일이 필요할 때</t>
    </r>
  </si>
  <si>
    <r>
      <rPr>
        <sz val="10"/>
        <rFont val="Malgun Gothic"/>
        <family val="0"/>
        <charset val="1"/>
      </rPr>
      <t xml:space="preserve">CNI → CRUS(5) → SEQ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HOME → Home Plate STPT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M-SEL(0) → </t>
    </r>
    <r>
      <rPr>
        <sz val="10"/>
        <rFont val="Noto Sans CJK SC"/>
        <family val="2"/>
      </rPr>
      <t xml:space="preserve">속도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고도 캐럿 추종 → </t>
    </r>
    <r>
      <rPr>
        <sz val="10"/>
        <rFont val="Malgun Gothic"/>
        <family val="0"/>
        <charset val="1"/>
      </rPr>
      <t xml:space="preserve">STPT=HOME </t>
    </r>
    <r>
      <rPr>
        <sz val="10"/>
        <rFont val="Noto Sans CJK SC"/>
        <family val="2"/>
      </rPr>
      <t xml:space="preserve">확인</t>
    </r>
  </si>
  <si>
    <t xml:space="preserve">1-329</t>
  </si>
  <si>
    <t xml:space="preserve">AG-22</t>
  </si>
  <si>
    <r>
      <rPr>
        <sz val="10"/>
        <rFont val="Noto Sans CJK SC"/>
        <family val="2"/>
      </rPr>
      <t xml:space="preserve">채프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플레어 살포 후 절차</t>
    </r>
  </si>
  <si>
    <t xml:space="preserve">After Chaff/Flare Dispensing Procedures</t>
  </si>
  <si>
    <r>
      <rPr>
        <sz val="10"/>
        <rFont val="Noto Sans CJK SC"/>
        <family val="2"/>
      </rPr>
      <t xml:space="preserve">위협 지역 이탈</t>
    </r>
    <r>
      <rPr>
        <sz val="10"/>
        <rFont val="Malgun Gothic"/>
        <family val="0"/>
        <charset val="1"/>
      </rPr>
      <t xml:space="preserve">(Fence-Out) </t>
    </r>
    <r>
      <rPr>
        <sz val="10"/>
        <rFont val="Noto Sans CJK SC"/>
        <family val="2"/>
      </rPr>
      <t xml:space="preserve">완료 시 또는 착륙 후 엔진 정지 전</t>
    </r>
  </si>
  <si>
    <r>
      <rPr>
        <sz val="10"/>
        <rFont val="Malgun Gothic"/>
        <family val="0"/>
        <charset val="1"/>
      </rPr>
      <t xml:space="preserve">CMDS Mode OFF → CH/FL OFF → CMDS RWR(JMR) Source OFF → Status </t>
    </r>
    <r>
      <rPr>
        <sz val="10"/>
        <rFont val="Noto Sans CJK SC"/>
        <family val="2"/>
      </rPr>
      <t xml:space="preserve">등 소등 확인</t>
    </r>
  </si>
  <si>
    <t xml:space="preserve">AG-25</t>
  </si>
  <si>
    <r>
      <rPr>
        <sz val="10"/>
        <rFont val="Noto Sans CJK SC"/>
        <family val="2"/>
      </rPr>
      <t xml:space="preserve">공중사격 예인표적</t>
    </r>
    <r>
      <rPr>
        <sz val="10"/>
        <rFont val="Malgun Gothic"/>
        <family val="0"/>
        <charset val="1"/>
      </rPr>
      <t xml:space="preserve">(AGTS) </t>
    </r>
    <r>
      <rPr>
        <sz val="10"/>
        <rFont val="Noto Sans CJK SC"/>
        <family val="2"/>
      </rPr>
      <t xml:space="preserve">회수 절차</t>
    </r>
  </si>
  <si>
    <t xml:space="preserve">Aerial Gunnery Target Set (AGTS) Recovery Procedures</t>
  </si>
  <si>
    <r>
      <rPr>
        <sz val="10"/>
        <rFont val="Noto Sans CJK SC"/>
        <family val="2"/>
      </rPr>
      <t xml:space="preserve">사격 종료 후 </t>
    </r>
    <r>
      <rPr>
        <sz val="10"/>
        <rFont val="Malgun Gothic"/>
        <family val="0"/>
        <charset val="1"/>
      </rPr>
      <t xml:space="preserve">RTB 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회수 구역 진입 시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</si>
  <si>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— AGTS </t>
    </r>
    <r>
      <rPr>
        <sz val="10"/>
        <rFont val="Noto Sans CJK SC"/>
        <family val="2"/>
      </rPr>
      <t xml:space="preserve">회수</t>
    </r>
  </si>
  <si>
    <r>
      <rPr>
        <b val="true"/>
        <sz val="10"/>
        <rFont val="Malgun Gothic"/>
        <family val="0"/>
        <charset val="1"/>
      </rPr>
      <t xml:space="preserve">■ P15  </t>
    </r>
    <r>
      <rPr>
        <b val="true"/>
        <sz val="10"/>
        <rFont val="Noto Sans CJK SC"/>
        <family val="2"/>
      </rPr>
      <t xml:space="preserve">접근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착륙  </t>
    </r>
    <r>
      <rPr>
        <b val="true"/>
        <sz val="10"/>
        <rFont val="Malgun Gothic"/>
        <family val="0"/>
        <charset val="1"/>
      </rPr>
      <t xml:space="preserve">(Approach / Landing) — TACAN/ILS </t>
    </r>
    <r>
      <rPr>
        <b val="true"/>
        <sz val="10"/>
        <rFont val="Noto Sans CJK SC"/>
        <family val="2"/>
      </rPr>
      <t xml:space="preserve">접근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착륙</t>
    </r>
    <r>
      <rPr>
        <b val="true"/>
        <sz val="10"/>
        <rFont val="Malgun Gothic"/>
        <family val="0"/>
        <charset val="1"/>
      </rPr>
      <t xml:space="preserve">.</t>
    </r>
  </si>
  <si>
    <t xml:space="preserve">P15</t>
  </si>
  <si>
    <r>
      <rPr>
        <sz val="10"/>
        <rFont val="Noto Sans CJK SC"/>
        <family val="2"/>
      </rPr>
      <t xml:space="preserve">접근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착륙</t>
    </r>
  </si>
  <si>
    <t xml:space="preserve">N-20</t>
  </si>
  <si>
    <r>
      <rPr>
        <sz val="10"/>
        <rFont val="Noto Sans CJK SC"/>
        <family val="2"/>
      </rPr>
      <t xml:space="preserve">강하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착륙 전 절차</t>
    </r>
  </si>
  <si>
    <t xml:space="preserve">Descent/Before Landing</t>
  </si>
  <si>
    <r>
      <rPr>
        <sz val="10"/>
        <rFont val="Malgun Gothic"/>
        <family val="0"/>
        <charset val="1"/>
      </rPr>
      <t xml:space="preserve">RTB </t>
    </r>
    <r>
      <rPr>
        <sz val="10"/>
        <rFont val="Noto Sans CJK SC"/>
        <family val="2"/>
      </rPr>
      <t xml:space="preserve">후 강하 개시</t>
    </r>
    <r>
      <rPr>
        <sz val="10"/>
        <rFont val="Malgun Gothic"/>
        <family val="0"/>
        <charset val="1"/>
      </rPr>
      <t xml:space="preserve">(TOD) </t>
    </r>
    <r>
      <rPr>
        <sz val="10"/>
        <rFont val="Noto Sans CJK SC"/>
        <family val="2"/>
      </rPr>
      <t xml:space="preserve">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초기접근 진입 전</t>
    </r>
  </si>
  <si>
    <r>
      <rPr>
        <sz val="10"/>
        <rFont val="Noto Sans CJK SC"/>
        <family val="2"/>
      </rPr>
      <t xml:space="preserve">연료 확인 → 접근속도</t>
    </r>
    <r>
      <rPr>
        <sz val="10"/>
        <rFont val="Malgun Gothic"/>
        <family val="0"/>
        <charset val="1"/>
      </rPr>
      <t xml:space="preserve">/AOA 11° </t>
    </r>
    <r>
      <rPr>
        <sz val="10"/>
        <rFont val="Noto Sans CJK SC"/>
        <family val="2"/>
      </rPr>
      <t xml:space="preserve">계획 → </t>
    </r>
    <r>
      <rPr>
        <sz val="10"/>
        <rFont val="Malgun Gothic"/>
        <family val="0"/>
        <charset val="1"/>
      </rPr>
      <t xml:space="preserve">DEFOG → LANDING LT ON → QNH </t>
    </r>
    <r>
      <rPr>
        <sz val="10"/>
        <rFont val="Noto Sans CJK SC"/>
        <family val="2"/>
      </rPr>
      <t xml:space="preserve">설정</t>
    </r>
    <r>
      <rPr>
        <sz val="10"/>
        <rFont val="Malgun Gothic"/>
        <family val="0"/>
        <charset val="1"/>
      </rPr>
      <t xml:space="preserve">·ELECT/PNEU/HUD </t>
    </r>
    <r>
      <rPr>
        <sz val="10"/>
        <rFont val="Noto Sans CJK SC"/>
        <family val="2"/>
      </rPr>
      <t xml:space="preserve">고도 비교 → </t>
    </r>
    <r>
      <rPr>
        <sz val="10"/>
        <rFont val="Malgun Gothic"/>
        <family val="0"/>
        <charset val="1"/>
      </rPr>
      <t xml:space="preserve">RDR ALT ON</t>
    </r>
  </si>
  <si>
    <t xml:space="preserve">2-23</t>
  </si>
  <si>
    <t xml:space="preserve">N-21</t>
  </si>
  <si>
    <t xml:space="preserve">정상 착륙</t>
  </si>
  <si>
    <t xml:space="preserve">Normal Landing</t>
  </si>
  <si>
    <r>
      <rPr>
        <sz val="10"/>
        <rFont val="Noto Sans CJK SC"/>
        <family val="2"/>
      </rPr>
      <t xml:space="preserve">초기접근 지점</t>
    </r>
    <r>
      <rPr>
        <sz val="10"/>
        <rFont val="Malgun Gothic"/>
        <family val="0"/>
        <charset val="1"/>
      </rPr>
      <t xml:space="preserve">(Initial) </t>
    </r>
    <r>
      <rPr>
        <sz val="10"/>
        <rFont val="Noto Sans CJK SC"/>
        <family val="2"/>
      </rPr>
      <t xml:space="preserve">진입 시 — 활주로 정렬</t>
    </r>
    <r>
      <rPr>
        <sz val="10"/>
        <rFont val="Malgun Gothic"/>
        <family val="0"/>
        <charset val="1"/>
      </rPr>
      <t xml:space="preserve">·1500ft AGL·300kts</t>
    </r>
  </si>
  <si>
    <r>
      <rPr>
        <sz val="10"/>
        <rFont val="Malgun Gothic"/>
        <family val="0"/>
        <charset val="1"/>
      </rPr>
      <t xml:space="preserve">RDR ALT ON·300kts/1500ft </t>
    </r>
    <r>
      <rPr>
        <sz val="10"/>
        <rFont val="Noto Sans CJK SC"/>
        <family val="2"/>
      </rPr>
      <t xml:space="preserve">초기 → 브레이크 </t>
    </r>
    <r>
      <rPr>
        <sz val="10"/>
        <rFont val="Malgun Gothic"/>
        <family val="0"/>
        <charset val="1"/>
      </rPr>
      <t xml:space="preserve">80%·SPD BRK OPEN → </t>
    </r>
    <r>
      <rPr>
        <sz val="10"/>
        <rFont val="Noto Sans CJK SC"/>
        <family val="2"/>
      </rPr>
      <t xml:space="preserve">다운윈드 </t>
    </r>
    <r>
      <rPr>
        <sz val="10"/>
        <rFont val="Malgun Gothic"/>
        <family val="0"/>
        <charset val="1"/>
      </rPr>
      <t xml:space="preserve">&lt;300kts LG DN·LDG LT·AOA 11° → </t>
    </r>
    <r>
      <rPr>
        <sz val="10"/>
        <rFont val="Noto Sans CJK SC"/>
        <family val="2"/>
      </rPr>
      <t xml:space="preserve">베이스 </t>
    </r>
    <r>
      <rPr>
        <sz val="10"/>
        <rFont val="Malgun Gothic"/>
        <family val="0"/>
        <charset val="1"/>
      </rPr>
      <t xml:space="preserve">3 GREEN → </t>
    </r>
    <r>
      <rPr>
        <sz val="10"/>
        <rFont val="Noto Sans CJK SC"/>
        <family val="2"/>
      </rPr>
      <t xml:space="preserve">파이널 </t>
    </r>
    <r>
      <rPr>
        <sz val="10"/>
        <rFont val="Malgun Gothic"/>
        <family val="0"/>
        <charset val="1"/>
      </rPr>
      <t xml:space="preserve">AOA 11°/FPM-2.5° → </t>
    </r>
    <r>
      <rPr>
        <sz val="10"/>
        <rFont val="Noto Sans CJK SC"/>
        <family val="2"/>
      </rPr>
      <t xml:space="preserve">플레어</t>
    </r>
    <r>
      <rPr>
        <sz val="10"/>
        <rFont val="Malgun Gothic"/>
        <family val="0"/>
        <charset val="1"/>
      </rPr>
      <t xml:space="preserve">·IDLE·13° </t>
    </r>
    <r>
      <rPr>
        <sz val="10"/>
        <rFont val="Noto Sans CJK SC"/>
        <family val="2"/>
      </rPr>
      <t xml:space="preserve">접지 → </t>
    </r>
    <r>
      <rPr>
        <sz val="10"/>
        <rFont val="Malgun Gothic"/>
        <family val="0"/>
        <charset val="1"/>
      </rPr>
      <t xml:space="preserve">100kts </t>
    </r>
    <r>
      <rPr>
        <sz val="10"/>
        <rFont val="Noto Sans CJK SC"/>
        <family val="2"/>
      </rPr>
      <t xml:space="preserve">공력제동 → 노즈다운</t>
    </r>
    <r>
      <rPr>
        <sz val="10"/>
        <rFont val="Malgun Gothic"/>
        <family val="0"/>
        <charset val="1"/>
      </rPr>
      <t xml:space="preserve">·SPD BRK </t>
    </r>
    <r>
      <rPr>
        <sz val="10"/>
        <rFont val="Noto Sans CJK SC"/>
        <family val="2"/>
      </rPr>
      <t xml:space="preserve">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풀 애프트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제동 → </t>
    </r>
    <r>
      <rPr>
        <sz val="10"/>
        <rFont val="Malgun Gothic"/>
        <family val="0"/>
        <charset val="1"/>
      </rPr>
      <t xml:space="preserve">30kts NWS</t>
    </r>
  </si>
  <si>
    <t xml:space="preserve">2-23~2-26</t>
  </si>
  <si>
    <t xml:space="preserve">N-22</t>
  </si>
  <si>
    <r>
      <rPr>
        <sz val="10"/>
        <rFont val="Noto Sans CJK SC"/>
        <family val="2"/>
      </rPr>
      <t xml:space="preserve">단거리 활주로 착륙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건조 활주로</t>
    </r>
    <r>
      <rPr>
        <sz val="10"/>
        <rFont val="Malgun Gothic"/>
        <family val="0"/>
        <charset val="1"/>
      </rPr>
      <t xml:space="preserve">)</t>
    </r>
  </si>
  <si>
    <t xml:space="preserve">Short Field Landing (Dry Runway)</t>
  </si>
  <si>
    <r>
      <rPr>
        <sz val="10"/>
        <rFont val="Noto Sans CJK SC"/>
        <family val="2"/>
      </rPr>
      <t xml:space="preserve">단거리 활주로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중량 착륙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고온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고지대 등 정지거리가 제한될 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착륙 계획 시 결정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</si>
  <si>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정상 접근 </t>
    </r>
    <r>
      <rPr>
        <sz val="10"/>
        <rFont val="Malgun Gothic"/>
        <family val="0"/>
        <charset val="1"/>
      </rPr>
      <t xml:space="preserve">AOA 11° → </t>
    </r>
    <r>
      <rPr>
        <sz val="10"/>
        <rFont val="Noto Sans CJK SC"/>
        <family val="2"/>
      </rPr>
      <t xml:space="preserve">접지 직전 </t>
    </r>
    <r>
      <rPr>
        <sz val="10"/>
        <rFont val="Malgun Gothic"/>
        <family val="0"/>
        <charset val="1"/>
      </rPr>
      <t xml:space="preserve">IDLE → </t>
    </r>
    <r>
      <rPr>
        <sz val="10"/>
        <rFont val="Noto Sans CJK SC"/>
        <family val="2"/>
      </rPr>
      <t xml:space="preserve">시단 근접 </t>
    </r>
    <r>
      <rPr>
        <sz val="10"/>
        <rFont val="Malgun Gothic"/>
        <family val="0"/>
        <charset val="1"/>
      </rPr>
      <t xml:space="preserve">13° </t>
    </r>
    <r>
      <rPr>
        <sz val="10"/>
        <rFont val="Noto Sans CJK SC"/>
        <family val="2"/>
      </rPr>
      <t xml:space="preserve">접지 → 공력제동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휠브레이크 → 노즈다운 후 풀 애프트</t>
    </r>
    <r>
      <rPr>
        <sz val="10"/>
        <rFont val="Malgun Gothic"/>
        <family val="0"/>
        <charset val="1"/>
      </rPr>
      <t xml:space="preserve">·SPD BRK </t>
    </r>
    <r>
      <rPr>
        <sz val="10"/>
        <rFont val="Noto Sans CJK SC"/>
        <family val="2"/>
      </rPr>
      <t xml:space="preserve">풀</t>
    </r>
    <r>
      <rPr>
        <sz val="10"/>
        <rFont val="Malgun Gothic"/>
        <family val="0"/>
        <charset val="1"/>
      </rPr>
      <t xml:space="preserve">·ANTI-SKID </t>
    </r>
    <r>
      <rPr>
        <sz val="10"/>
        <rFont val="Noto Sans CJK SC"/>
        <family val="2"/>
      </rPr>
      <t xml:space="preserve">최대 제동</t>
    </r>
  </si>
  <si>
    <t xml:space="preserve">2-26</t>
  </si>
  <si>
    <t xml:space="preserve">N-23</t>
  </si>
  <si>
    <t xml:space="preserve">횡풍 착륙</t>
  </si>
  <si>
    <t xml:space="preserve">Crosswind Landing</t>
  </si>
  <si>
    <r>
      <rPr>
        <sz val="10"/>
        <rFont val="Noto Sans CJK SC"/>
        <family val="2"/>
      </rPr>
      <t xml:space="preserve">착륙 활주로 횡풍 성분이 유의미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최대 한계 </t>
    </r>
    <r>
      <rPr>
        <sz val="10"/>
        <rFont val="Malgun Gothic"/>
        <family val="0"/>
        <charset val="1"/>
      </rPr>
      <t xml:space="preserve">25kts)</t>
    </r>
    <r>
      <rPr>
        <sz val="10"/>
        <rFont val="Noto Sans CJK SC"/>
        <family val="2"/>
      </rPr>
      <t xml:space="preserve">할 때</t>
    </r>
  </si>
  <si>
    <r>
      <rPr>
        <sz val="10"/>
        <rFont val="Noto Sans CJK SC"/>
        <family val="2"/>
      </rPr>
      <t xml:space="preserve">윙레벨 크랩 접지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롤 입력 제거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러더로 트랙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롤로 윙라이즈 억제 → </t>
    </r>
    <r>
      <rPr>
        <sz val="10"/>
        <rFont val="Malgun Gothic"/>
        <family val="0"/>
        <charset val="1"/>
      </rPr>
      <t xml:space="preserve">100kts</t>
    </r>
    <r>
      <rPr>
        <sz val="10"/>
        <rFont val="Noto Sans CJK SC"/>
        <family val="2"/>
      </rPr>
      <t xml:space="preserve">까지 공력제동 → 러더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차동제동 → 필요 시 </t>
    </r>
    <r>
      <rPr>
        <sz val="10"/>
        <rFont val="Malgun Gothic"/>
        <family val="0"/>
        <charset val="1"/>
      </rPr>
      <t xml:space="preserve">NWS </t>
    </r>
    <r>
      <rPr>
        <sz val="10"/>
        <rFont val="Noto Sans CJK SC"/>
        <family val="2"/>
      </rPr>
      <t xml:space="preserve">결합</t>
    </r>
  </si>
  <si>
    <t xml:space="preserve">2-26~2-28</t>
  </si>
  <si>
    <t xml:space="preserve">N-24</t>
  </si>
  <si>
    <t xml:space="preserve">터치앤고 착륙</t>
  </si>
  <si>
    <t xml:space="preserve">Touch-and-Go Landing</t>
  </si>
  <si>
    <r>
      <rPr>
        <sz val="10"/>
        <rFont val="Noto Sans CJK SC"/>
        <family val="2"/>
      </rPr>
      <t xml:space="preserve">패턴 훈련 중 터치앤고 계획 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접지 후 즉시 재이륙 필요 시</t>
    </r>
  </si>
  <si>
    <r>
      <rPr>
        <sz val="10"/>
        <rFont val="Noto Sans CJK SC"/>
        <family val="2"/>
      </rPr>
      <t xml:space="preserve">정상 접근</t>
    </r>
    <r>
      <rPr>
        <sz val="10"/>
        <rFont val="Malgun Gothic"/>
        <family val="0"/>
        <charset val="1"/>
      </rPr>
      <t xml:space="preserve">·13° </t>
    </r>
    <r>
      <rPr>
        <sz val="10"/>
        <rFont val="Noto Sans CJK SC"/>
        <family val="2"/>
      </rPr>
      <t xml:space="preserve">접지 → 자세 유지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MIL·SPD BRK CLOSE → </t>
    </r>
    <r>
      <rPr>
        <sz val="10"/>
        <rFont val="Noto Sans CJK SC"/>
        <family val="2"/>
      </rPr>
      <t xml:space="preserve">로테이션 → </t>
    </r>
    <r>
      <rPr>
        <sz val="10"/>
        <rFont val="Malgun Gothic"/>
        <family val="0"/>
        <charset val="1"/>
      </rPr>
      <t xml:space="preserve">LG UP</t>
    </r>
  </si>
  <si>
    <t xml:space="preserve">2-27</t>
  </si>
  <si>
    <t xml:space="preserve">N-36</t>
  </si>
  <si>
    <r>
      <rPr>
        <sz val="10"/>
        <rFont val="Noto Sans CJK SC"/>
        <family val="2"/>
      </rPr>
      <t xml:space="preserve">보충 절차 </t>
    </r>
    <r>
      <rPr>
        <sz val="10"/>
        <rFont val="Malgun Gothic"/>
        <family val="0"/>
        <charset val="1"/>
      </rPr>
      <t xml:space="preserve">- ILS </t>
    </r>
    <r>
      <rPr>
        <sz val="10"/>
        <rFont val="Noto Sans CJK SC"/>
        <family val="2"/>
      </rPr>
      <t xml:space="preserve">절차</t>
    </r>
  </si>
  <si>
    <t xml:space="preserve">Supplemental Procedures - ILS Procedures</t>
  </si>
  <si>
    <r>
      <rPr>
        <sz val="10"/>
        <rFont val="Noto Sans CJK SC"/>
        <family val="2"/>
      </rPr>
      <t xml:space="preserve">계기 접근</t>
    </r>
    <r>
      <rPr>
        <sz val="10"/>
        <rFont val="Malgun Gothic"/>
        <family val="0"/>
        <charset val="1"/>
      </rPr>
      <t xml:space="preserve">(ILS) </t>
    </r>
    <r>
      <rPr>
        <sz val="10"/>
        <rFont val="Noto Sans CJK SC"/>
        <family val="2"/>
      </rPr>
      <t xml:space="preserve">허가 수신 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강하 중 접근 준비 시</t>
    </r>
  </si>
  <si>
    <r>
      <rPr>
        <sz val="10"/>
        <rFont val="Malgun Gothic"/>
        <family val="0"/>
        <charset val="1"/>
      </rPr>
      <t xml:space="preserve">RTN CNI → T-ILS(1) → ILS FRQ ENTR → CRS ENTR(CMD STRG) → EHSI CRS → EHSI PLS/NAV(TCN) → HUD/ADI </t>
    </r>
    <r>
      <rPr>
        <sz val="10"/>
        <rFont val="Noto Sans CJK SC"/>
        <family val="2"/>
      </rPr>
      <t xml:space="preserve">바 확인 → </t>
    </r>
    <r>
      <rPr>
        <sz val="10"/>
        <rFont val="Malgun Gothic"/>
        <family val="0"/>
        <charset val="1"/>
      </rPr>
      <t xml:space="preserve">LG/LDG LT/SPD BRK/AOA 11°</t>
    </r>
  </si>
  <si>
    <t xml:space="preserve">2-32</t>
  </si>
  <si>
    <t xml:space="preserve">W-01</t>
  </si>
  <si>
    <t xml:space="preserve">계기비행 절차</t>
  </si>
  <si>
    <t xml:space="preserve">Instrument Flight Procedures</t>
  </si>
  <si>
    <r>
      <rPr>
        <sz val="10"/>
        <rFont val="Malgun Gothic"/>
        <family val="0"/>
        <charset val="1"/>
      </rPr>
      <t xml:space="preserve">IMC </t>
    </r>
    <r>
      <rPr>
        <sz val="10"/>
        <rFont val="Noto Sans CJK SC"/>
        <family val="2"/>
      </rPr>
      <t xml:space="preserve">진입 또는 계기접근</t>
    </r>
    <r>
      <rPr>
        <sz val="10"/>
        <rFont val="Malgun Gothic"/>
        <family val="0"/>
        <charset val="1"/>
      </rPr>
      <t xml:space="preserve">(ILS/TACAN) </t>
    </r>
    <r>
      <rPr>
        <sz val="10"/>
        <rFont val="Noto Sans CJK SC"/>
        <family val="2"/>
      </rPr>
      <t xml:space="preserve">개시 시</t>
    </r>
    <r>
      <rPr>
        <sz val="10"/>
        <rFont val="Malgun Gothic"/>
        <family val="0"/>
        <charset val="1"/>
      </rPr>
      <t xml:space="preserve">; ADI/HSI OFF·AUX </t>
    </r>
    <r>
      <rPr>
        <sz val="10"/>
        <rFont val="Noto Sans CJK SC"/>
        <family val="2"/>
      </rPr>
      <t xml:space="preserve">플래그 또는 </t>
    </r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글라이드슬로프 바 이상 표시 시</t>
    </r>
  </si>
  <si>
    <r>
      <rPr>
        <sz val="10"/>
        <rFont val="Malgun Gothic"/>
        <family val="0"/>
        <charset val="1"/>
      </rPr>
      <t xml:space="preserve">HUD Scales VV/VAH → ADI·SAI·EHSI </t>
    </r>
    <r>
      <rPr>
        <sz val="10"/>
        <rFont val="Noto Sans CJK SC"/>
        <family val="2"/>
      </rPr>
      <t xml:space="preserve">교차점검 → </t>
    </r>
    <r>
      <rPr>
        <sz val="10"/>
        <rFont val="Malgun Gothic"/>
        <family val="0"/>
        <charset val="1"/>
      </rPr>
      <t xml:space="preserve">T-ILS </t>
    </r>
    <r>
      <rPr>
        <sz val="10"/>
        <rFont val="Noto Sans CJK SC"/>
        <family val="2"/>
      </rPr>
      <t xml:space="preserve">주파수</t>
    </r>
    <r>
      <rPr>
        <sz val="10"/>
        <rFont val="Malgun Gothic"/>
        <family val="0"/>
        <charset val="1"/>
      </rPr>
      <t xml:space="preserve">/CRS </t>
    </r>
    <r>
      <rPr>
        <sz val="10"/>
        <rFont val="Noto Sans CJK SC"/>
        <family val="2"/>
      </rPr>
      <t xml:space="preserve">사전 입력 → </t>
    </r>
    <r>
      <rPr>
        <sz val="10"/>
        <rFont val="Malgun Gothic"/>
        <family val="0"/>
        <charset val="1"/>
      </rPr>
      <t xml:space="preserve">EHSI 'M' PLS/NAV </t>
    </r>
    <r>
      <rPr>
        <sz val="10"/>
        <rFont val="Noto Sans CJK SC"/>
        <family val="2"/>
      </rPr>
      <t xml:space="preserve">조기 선택 → </t>
    </r>
    <r>
      <rPr>
        <sz val="10"/>
        <rFont val="Malgun Gothic"/>
        <family val="0"/>
        <charset val="1"/>
      </rPr>
      <t xml:space="preserve">FD </t>
    </r>
    <r>
      <rPr>
        <sz val="10"/>
        <rFont val="Noto Sans CJK SC"/>
        <family val="2"/>
      </rPr>
      <t xml:space="preserve">이상 시 </t>
    </r>
    <r>
      <rPr>
        <sz val="10"/>
        <rFont val="Malgun Gothic"/>
        <family val="0"/>
        <charset val="1"/>
      </rPr>
      <t xml:space="preserve">NAV/TCN↔PLS </t>
    </r>
    <r>
      <rPr>
        <sz val="10"/>
        <rFont val="Noto Sans CJK SC"/>
        <family val="2"/>
      </rPr>
      <t xml:space="preserve">재선택 → </t>
    </r>
    <r>
      <rPr>
        <sz val="10"/>
        <rFont val="Malgun Gothic"/>
        <family val="0"/>
        <charset val="1"/>
      </rPr>
      <t xml:space="preserve">CRS </t>
    </r>
    <r>
      <rPr>
        <sz val="10"/>
        <rFont val="Noto Sans CJK SC"/>
        <family val="2"/>
      </rPr>
      <t xml:space="preserve">카운터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포인터 일치 확인</t>
    </r>
  </si>
  <si>
    <t xml:space="preserve">7-1</t>
  </si>
  <si>
    <t xml:space="preserve">W-03</t>
  </si>
  <si>
    <r>
      <rPr>
        <sz val="10"/>
        <rFont val="Noto Sans CJK SC"/>
        <family val="2"/>
      </rPr>
      <t xml:space="preserve">침투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계기강하</t>
    </r>
    <r>
      <rPr>
        <sz val="10"/>
        <rFont val="Malgun Gothic"/>
        <family val="0"/>
        <charset val="1"/>
      </rPr>
      <t xml:space="preserve">)</t>
    </r>
  </si>
  <si>
    <t xml:space="preserve">Penetration</t>
  </si>
  <si>
    <r>
      <rPr>
        <sz val="10"/>
        <rFont val="Malgun Gothic"/>
        <family val="0"/>
        <charset val="1"/>
      </rPr>
      <t xml:space="preserve">TACAN/GCA </t>
    </r>
    <r>
      <rPr>
        <sz val="10"/>
        <rFont val="Noto Sans CJK SC"/>
        <family val="2"/>
      </rPr>
      <t xml:space="preserve">침투 개시 픽스</t>
    </r>
    <r>
      <rPr>
        <sz val="10"/>
        <rFont val="Malgun Gothic"/>
        <family val="0"/>
        <charset val="1"/>
      </rPr>
      <t xml:space="preserve">(IAF) </t>
    </r>
    <r>
      <rPr>
        <sz val="10"/>
        <rFont val="Noto Sans CJK SC"/>
        <family val="2"/>
      </rPr>
      <t xml:space="preserve">통과 또는 강하 허가 시</t>
    </r>
  </si>
  <si>
    <r>
      <rPr>
        <sz val="10"/>
        <rFont val="Malgun Gothic"/>
        <family val="0"/>
        <charset val="1"/>
      </rPr>
      <t xml:space="preserve">TACAN CHAN/</t>
    </r>
    <r>
      <rPr>
        <sz val="10"/>
        <rFont val="Noto Sans CJK SC"/>
        <family val="2"/>
      </rPr>
      <t xml:space="preserve">라디얼 설정 → </t>
    </r>
    <r>
      <rPr>
        <sz val="10"/>
        <rFont val="Malgun Gothic"/>
        <family val="0"/>
        <charset val="1"/>
      </rPr>
      <t xml:space="preserve">EHSI TCN →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IDLE → </t>
    </r>
    <r>
      <rPr>
        <sz val="10"/>
        <rFont val="Noto Sans CJK SC"/>
        <family val="2"/>
      </rPr>
      <t xml:space="preserve">스피드브레이크 필요 시 → </t>
    </r>
    <r>
      <rPr>
        <sz val="10"/>
        <rFont val="Malgun Gothic"/>
        <family val="0"/>
        <charset val="1"/>
      </rPr>
      <t xml:space="preserve">300kt </t>
    </r>
    <r>
      <rPr>
        <sz val="10"/>
        <rFont val="Noto Sans CJK SC"/>
        <family val="2"/>
      </rPr>
      <t xml:space="preserve">강하 → </t>
    </r>
    <r>
      <rPr>
        <sz val="10"/>
        <rFont val="Malgun Gothic"/>
        <family val="0"/>
        <charset val="1"/>
      </rPr>
      <t xml:space="preserve">RADALT ON, QNH </t>
    </r>
    <r>
      <rPr>
        <sz val="10"/>
        <rFont val="Noto Sans CJK SC"/>
        <family val="2"/>
      </rPr>
      <t xml:space="preserve">설정 → </t>
    </r>
    <r>
      <rPr>
        <sz val="10"/>
        <rFont val="Malgun Gothic"/>
        <family val="0"/>
        <charset val="1"/>
      </rPr>
      <t xml:space="preserve">CDI </t>
    </r>
    <r>
      <rPr>
        <sz val="10"/>
        <rFont val="Noto Sans CJK SC"/>
        <family val="2"/>
      </rPr>
      <t xml:space="preserve">중앙 유지</t>
    </r>
  </si>
  <si>
    <t xml:space="preserve">W-04</t>
  </si>
  <si>
    <r>
      <rPr>
        <sz val="10"/>
        <rFont val="Noto Sans CJK SC"/>
        <family val="2"/>
      </rPr>
      <t xml:space="preserve">계기패턴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접근</t>
    </r>
  </si>
  <si>
    <t xml:space="preserve">Instrument Pattern/Approaches</t>
  </si>
  <si>
    <r>
      <rPr>
        <sz val="10"/>
        <rFont val="Noto Sans CJK SC"/>
        <family val="2"/>
      </rPr>
      <t xml:space="preserve">침투 완료 후 계기패턴 진입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파이널 접근 픽스</t>
    </r>
    <r>
      <rPr>
        <sz val="10"/>
        <rFont val="Malgun Gothic"/>
        <family val="0"/>
        <charset val="1"/>
      </rPr>
      <t xml:space="preserve">(FAF) </t>
    </r>
    <r>
      <rPr>
        <sz val="10"/>
        <rFont val="Noto Sans CJK SC"/>
        <family val="2"/>
      </rPr>
      <t xml:space="preserve">또는 글라이드슬로프 인터셉트 접근 시</t>
    </r>
  </si>
  <si>
    <r>
      <rPr>
        <sz val="10"/>
        <rFont val="Noto Sans CJK SC"/>
        <family val="2"/>
      </rPr>
      <t xml:space="preserve">패턴 클린 </t>
    </r>
    <r>
      <rPr>
        <sz val="10"/>
        <rFont val="Malgun Gothic"/>
        <family val="0"/>
        <charset val="1"/>
      </rPr>
      <t xml:space="preserve">200~250kt → </t>
    </r>
    <r>
      <rPr>
        <sz val="10"/>
        <rFont val="Noto Sans CJK SC"/>
        <family val="2"/>
      </rPr>
      <t xml:space="preserve">파이널 접근 시 </t>
    </r>
    <r>
      <rPr>
        <sz val="10"/>
        <rFont val="Malgun Gothic"/>
        <family val="0"/>
        <charset val="1"/>
      </rPr>
      <t xml:space="preserve">LG DOWN(3 </t>
    </r>
    <r>
      <rPr>
        <sz val="10"/>
        <rFont val="Noto Sans CJK SC"/>
        <family val="2"/>
      </rPr>
      <t xml:space="preserve">그린</t>
    </r>
    <r>
      <rPr>
        <sz val="10"/>
        <rFont val="Malgun Gothic"/>
        <family val="0"/>
        <charset val="1"/>
      </rPr>
      <t xml:space="preserve">) → LANDING </t>
    </r>
    <r>
      <rPr>
        <sz val="10"/>
        <rFont val="Noto Sans CJK SC"/>
        <family val="2"/>
      </rPr>
      <t xml:space="preserve">라이트 → 스피드브레이크 → 스로틀로 </t>
    </r>
    <r>
      <rPr>
        <sz val="10"/>
        <rFont val="Malgun Gothic"/>
        <family val="0"/>
        <charset val="1"/>
      </rPr>
      <t xml:space="preserve">AOA 11~13</t>
    </r>
    <r>
      <rPr>
        <sz val="10"/>
        <rFont val="Noto Sans CJK SC"/>
        <family val="2"/>
      </rPr>
      <t xml:space="preserve">도 → </t>
    </r>
    <r>
      <rPr>
        <sz val="10"/>
        <rFont val="Malgun Gothic"/>
        <family val="0"/>
        <charset val="1"/>
      </rPr>
      <t xml:space="preserve">ILS/TACAN </t>
    </r>
    <r>
      <rPr>
        <sz val="10"/>
        <rFont val="Noto Sans CJK SC"/>
        <family val="2"/>
      </rPr>
      <t xml:space="preserve">바 중앙</t>
    </r>
  </si>
  <si>
    <t xml:space="preserve">W-05</t>
  </si>
  <si>
    <r>
      <rPr>
        <sz val="10"/>
        <rFont val="Noto Sans CJK SC"/>
        <family val="2"/>
      </rPr>
      <t xml:space="preserve">복행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미스드 어프로치</t>
    </r>
    <r>
      <rPr>
        <sz val="10"/>
        <rFont val="Malgun Gothic"/>
        <family val="0"/>
        <charset val="1"/>
      </rPr>
      <t xml:space="preserve">)</t>
    </r>
  </si>
  <si>
    <t xml:space="preserve">Missed Approach</t>
  </si>
  <si>
    <r>
      <rPr>
        <sz val="10"/>
        <rFont val="Noto Sans CJK SC"/>
        <family val="2"/>
      </rPr>
      <t xml:space="preserve">결심고도</t>
    </r>
    <r>
      <rPr>
        <sz val="10"/>
        <rFont val="Malgun Gothic"/>
        <family val="0"/>
        <charset val="1"/>
      </rPr>
      <t xml:space="preserve">(DH/MDA)</t>
    </r>
    <r>
      <rPr>
        <sz val="10"/>
        <rFont val="Noto Sans CJK SC"/>
        <family val="2"/>
      </rPr>
      <t xml:space="preserve">에서 활주로 미확인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접근 불안정</t>
    </r>
    <r>
      <rPr>
        <sz val="10"/>
        <rFont val="Malgun Gothic"/>
        <family val="0"/>
        <charset val="1"/>
      </rPr>
      <t xml:space="preserve">, ATC/</t>
    </r>
    <r>
      <rPr>
        <sz val="10"/>
        <rFont val="Noto Sans CJK SC"/>
        <family val="2"/>
      </rPr>
      <t xml:space="preserve">편대장 고어라운드 지시 시</t>
    </r>
  </si>
  <si>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MIL → </t>
    </r>
    <r>
      <rPr>
        <sz val="10"/>
        <rFont val="Noto Sans CJK SC"/>
        <family val="2"/>
      </rPr>
      <t xml:space="preserve">스피드브레이크 </t>
    </r>
    <r>
      <rPr>
        <sz val="10"/>
        <rFont val="Malgun Gothic"/>
        <family val="0"/>
        <charset val="1"/>
      </rPr>
      <t xml:space="preserve">CLOSE → </t>
    </r>
    <r>
      <rPr>
        <sz val="10"/>
        <rFont val="Noto Sans CJK SC"/>
        <family val="2"/>
      </rPr>
      <t xml:space="preserve">양의 상승률 확인 후 </t>
    </r>
    <r>
      <rPr>
        <sz val="10"/>
        <rFont val="Malgun Gothic"/>
        <family val="0"/>
        <charset val="1"/>
      </rPr>
      <t xml:space="preserve">LG UP → 200~250kt → </t>
    </r>
    <r>
      <rPr>
        <sz val="10"/>
        <rFont val="Noto Sans CJK SC"/>
        <family val="2"/>
      </rPr>
      <t xml:space="preserve">복행 픽스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홀딩으로 항법</t>
    </r>
  </si>
  <si>
    <t xml:space="preserve">W-14</t>
  </si>
  <si>
    <r>
      <rPr>
        <sz val="10"/>
        <rFont val="Noto Sans CJK SC"/>
        <family val="2"/>
      </rPr>
      <t xml:space="preserve">결빙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습윤 활주로 착륙</t>
    </r>
  </si>
  <si>
    <t xml:space="preserve">Landing in Icy or Wet Conditions</t>
  </si>
  <si>
    <r>
      <rPr>
        <sz val="10"/>
        <rFont val="Noto Sans CJK SC"/>
        <family val="2"/>
      </rPr>
      <t xml:space="preserve">활주로가 젖었거나 결빙</t>
    </r>
    <r>
      <rPr>
        <sz val="10"/>
        <rFont val="Malgun Gothic"/>
        <family val="0"/>
        <charset val="1"/>
      </rPr>
      <t xml:space="preserve">(RCR </t>
    </r>
    <r>
      <rPr>
        <sz val="10"/>
        <rFont val="Noto Sans CJK SC"/>
        <family val="2"/>
      </rPr>
      <t xml:space="preserve">저하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보고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관측 시 최종접근 진입</t>
    </r>
  </si>
  <si>
    <r>
      <rPr>
        <sz val="10"/>
        <rFont val="Malgun Gothic"/>
        <family val="0"/>
        <charset val="1"/>
      </rPr>
      <t xml:space="preserve">AOA 11</t>
    </r>
    <r>
      <rPr>
        <sz val="10"/>
        <rFont val="Noto Sans CJK SC"/>
        <family val="2"/>
      </rPr>
      <t xml:space="preserve">도 접근 → </t>
    </r>
    <r>
      <rPr>
        <sz val="10"/>
        <rFont val="Malgun Gothic"/>
        <family val="0"/>
        <charset val="1"/>
      </rPr>
      <t xml:space="preserve">IDLE, 13</t>
    </r>
    <r>
      <rPr>
        <sz val="10"/>
        <rFont val="Noto Sans CJK SC"/>
        <family val="2"/>
      </rPr>
      <t xml:space="preserve">도 접지 → 러더 중 브레이크 금지 → </t>
    </r>
    <r>
      <rPr>
        <sz val="10"/>
        <rFont val="Malgun Gothic"/>
        <family val="0"/>
        <charset val="1"/>
      </rPr>
      <t xml:space="preserve">100kt</t>
    </r>
    <r>
      <rPr>
        <sz val="10"/>
        <rFont val="Noto Sans CJK SC"/>
        <family val="2"/>
      </rPr>
      <t xml:space="preserve">까지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점 공력제동 → 노즈 다운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스피드브레이크 </t>
    </r>
    <r>
      <rPr>
        <sz val="10"/>
        <rFont val="Malgun Gothic"/>
        <family val="0"/>
        <charset val="1"/>
      </rPr>
      <t xml:space="preserve">OPEN, </t>
    </r>
    <r>
      <rPr>
        <sz val="10"/>
        <rFont val="Noto Sans CJK SC"/>
        <family val="2"/>
      </rPr>
      <t xml:space="preserve">풀 애프트 스틱 → 브레이크 시험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밟기</t>
    </r>
    <r>
      <rPr>
        <sz val="10"/>
        <rFont val="Malgun Gothic"/>
        <family val="0"/>
        <charset val="1"/>
      </rPr>
      <t xml:space="preserve">-0.5</t>
    </r>
    <r>
      <rPr>
        <sz val="10"/>
        <rFont val="Noto Sans CJK SC"/>
        <family val="2"/>
      </rPr>
      <t xml:space="preserve">초 이완</t>
    </r>
    <r>
      <rPr>
        <sz val="10"/>
        <rFont val="Malgun Gothic"/>
        <family val="0"/>
        <charset val="1"/>
      </rPr>
      <t xml:space="preserve">-</t>
    </r>
    <r>
      <rPr>
        <sz val="10"/>
        <rFont val="Noto Sans CJK SC"/>
        <family val="2"/>
      </rPr>
      <t xml:space="preserve">재밟기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연속제동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필요 시 </t>
    </r>
    <r>
      <rPr>
        <sz val="10"/>
        <rFont val="Malgun Gothic"/>
        <family val="0"/>
        <charset val="1"/>
      </rPr>
      <t xml:space="preserve">HOOK DOWN → 30kt NWS</t>
    </r>
  </si>
  <si>
    <r>
      <rPr>
        <b val="true"/>
        <sz val="10"/>
        <rFont val="Malgun Gothic"/>
        <family val="0"/>
        <charset val="1"/>
      </rPr>
      <t xml:space="preserve">■ P16  </t>
    </r>
    <r>
      <rPr>
        <b val="true"/>
        <sz val="10"/>
        <rFont val="Noto Sans CJK SC"/>
        <family val="2"/>
      </rPr>
      <t xml:space="preserve">착륙 후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엔진 정지  </t>
    </r>
    <r>
      <rPr>
        <b val="true"/>
        <sz val="10"/>
        <rFont val="Malgun Gothic"/>
        <family val="0"/>
        <charset val="1"/>
      </rPr>
      <t xml:space="preserve">(After Landing / Shutdown) — </t>
    </r>
    <r>
      <rPr>
        <b val="true"/>
        <sz val="10"/>
        <rFont val="Noto Sans CJK SC"/>
        <family val="2"/>
      </rPr>
      <t xml:space="preserve">착륙 후 안전화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엔진 정지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전원 차단</t>
    </r>
    <r>
      <rPr>
        <b val="true"/>
        <sz val="10"/>
        <rFont val="Malgun Gothic"/>
        <family val="0"/>
        <charset val="1"/>
      </rPr>
      <t xml:space="preserve">.</t>
    </r>
  </si>
  <si>
    <t xml:space="preserve">P16</t>
  </si>
  <si>
    <r>
      <rPr>
        <sz val="10"/>
        <rFont val="Noto Sans CJK SC"/>
        <family val="2"/>
      </rPr>
      <t xml:space="preserve">착륙 후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엔진 정지</t>
    </r>
  </si>
  <si>
    <t xml:space="preserve">N-25</t>
  </si>
  <si>
    <t xml:space="preserve">착륙 후 절차</t>
  </si>
  <si>
    <t xml:space="preserve">After Landing</t>
  </si>
  <si>
    <r>
      <rPr>
        <sz val="10"/>
        <rFont val="Noto Sans CJK SC"/>
        <family val="2"/>
      </rPr>
      <t xml:space="preserve">활주로 이탈</t>
    </r>
    <r>
      <rPr>
        <sz val="10"/>
        <rFont val="Malgun Gothic"/>
        <family val="0"/>
        <charset val="1"/>
      </rPr>
      <t xml:space="preserve">(clear of runway) </t>
    </r>
    <r>
      <rPr>
        <sz val="10"/>
        <rFont val="Noto Sans CJK SC"/>
        <family val="2"/>
      </rPr>
      <t xml:space="preserve">직후</t>
    </r>
  </si>
  <si>
    <r>
      <rPr>
        <sz val="10"/>
        <rFont val="Malgun Gothic"/>
        <family val="0"/>
        <charset val="1"/>
      </rPr>
      <t xml:space="preserve">PROBE HEAT OFF → ECM OFF → SPD BRK CLOSE → </t>
    </r>
    <r>
      <rPr>
        <sz val="10"/>
        <rFont val="Noto Sans CJK SC"/>
        <family val="2"/>
      </rPr>
      <t xml:space="preserve">사출레버 </t>
    </r>
    <r>
      <rPr>
        <sz val="10"/>
        <rFont val="Malgun Gothic"/>
        <family val="0"/>
        <charset val="1"/>
      </rPr>
      <t xml:space="preserve">SAFE → IFF STBY/M4 HOLD → TAXI LT → </t>
    </r>
    <r>
      <rPr>
        <sz val="10"/>
        <rFont val="Noto Sans CJK SC"/>
        <family val="2"/>
      </rPr>
      <t xml:space="preserve">캐노피 필요 시 → </t>
    </r>
    <r>
      <rPr>
        <sz val="10"/>
        <rFont val="Malgun Gothic"/>
        <family val="0"/>
        <charset val="1"/>
      </rPr>
      <t xml:space="preserve">MASTER ARM/LASER ARM/CMDS OFF</t>
    </r>
  </si>
  <si>
    <t xml:space="preserve">2-27~2-28</t>
  </si>
  <si>
    <t xml:space="preserve">N-26</t>
  </si>
  <si>
    <t xml:space="preserve">엔진 정지 전 절차</t>
  </si>
  <si>
    <t xml:space="preserve">Prior to Engine Shutdown</t>
  </si>
  <si>
    <r>
      <rPr>
        <sz val="10"/>
        <rFont val="Noto Sans CJK SC"/>
        <family val="2"/>
      </rPr>
      <t xml:space="preserve">주기장 정지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파킹브레이크 설정 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 </t>
    </r>
    <r>
      <rPr>
        <sz val="10"/>
        <rFont val="Noto Sans CJK SC"/>
        <family val="2"/>
      </rPr>
      <t xml:space="preserve">직전</t>
    </r>
  </si>
  <si>
    <r>
      <rPr>
        <sz val="10"/>
        <rFont val="Malgun Gothic"/>
        <family val="0"/>
        <charset val="1"/>
      </rPr>
      <t xml:space="preserve">(EPU </t>
    </r>
    <r>
      <rPr>
        <sz val="10"/>
        <rFont val="Noto Sans CJK SC"/>
        <family val="2"/>
      </rPr>
      <t xml:space="preserve">핀</t>
    </r>
    <r>
      <rPr>
        <sz val="10"/>
        <rFont val="Malgun Gothic"/>
        <family val="0"/>
        <charset val="1"/>
      </rPr>
      <t xml:space="preserve">/EPU OFF) → INS </t>
    </r>
    <r>
      <rPr>
        <sz val="10"/>
        <rFont val="Noto Sans CJK SC"/>
        <family val="2"/>
      </rPr>
      <t xml:space="preserve">오차 확인 → </t>
    </r>
    <r>
      <rPr>
        <sz val="10"/>
        <rFont val="Malgun Gothic"/>
        <family val="0"/>
        <charset val="1"/>
      </rPr>
      <t xml:space="preserve">AVTR OFF → C&amp;I BACKUP → INS OFF → HUD </t>
    </r>
    <r>
      <rPr>
        <sz val="10"/>
        <rFont val="Noto Sans CJK SC"/>
        <family val="2"/>
      </rPr>
      <t xml:space="preserve">휠 </t>
    </r>
    <r>
      <rPr>
        <sz val="10"/>
        <rFont val="Malgun Gothic"/>
        <family val="0"/>
        <charset val="1"/>
      </rPr>
      <t xml:space="preserve">OFF·SNSR PWR 4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OFF·AVIONICS PWR OFF</t>
    </r>
  </si>
  <si>
    <t xml:space="preserve">2-28~2-29</t>
  </si>
  <si>
    <t xml:space="preserve">N-27</t>
  </si>
  <si>
    <t xml:space="preserve">엔진 정지</t>
  </si>
  <si>
    <t xml:space="preserve">Engine Shutdown</t>
  </si>
  <si>
    <r>
      <rPr>
        <sz val="10"/>
        <rFont val="Noto Sans CJK SC"/>
        <family val="2"/>
      </rPr>
      <t xml:space="preserve">정지 전 절차</t>
    </r>
    <r>
      <rPr>
        <sz val="10"/>
        <rFont val="Malgun Gothic"/>
        <family val="0"/>
        <charset val="1"/>
      </rPr>
      <t xml:space="preserve">(N-26) </t>
    </r>
    <r>
      <rPr>
        <sz val="10"/>
        <rFont val="Noto Sans CJK SC"/>
        <family val="2"/>
      </rPr>
      <t xml:space="preserve">완료 후</t>
    </r>
  </si>
  <si>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 → JFS RUN </t>
    </r>
    <r>
      <rPr>
        <sz val="10"/>
        <rFont val="Noto Sans CJK SC"/>
        <family val="2"/>
      </rPr>
      <t xml:space="preserve">소등 → </t>
    </r>
    <r>
      <rPr>
        <sz val="10"/>
        <rFont val="Malgun Gothic"/>
        <family val="0"/>
        <charset val="1"/>
      </rPr>
      <t xml:space="preserve">EPU GEN/PMG </t>
    </r>
    <r>
      <rPr>
        <sz val="10"/>
        <rFont val="Noto Sans CJK SC"/>
        <family val="2"/>
      </rPr>
      <t xml:space="preserve">소등 → </t>
    </r>
    <r>
      <rPr>
        <sz val="10"/>
        <rFont val="Malgun Gothic"/>
        <family val="0"/>
        <charset val="1"/>
      </rPr>
      <t xml:space="preserve">RPM &lt;20% MAIN PWR OFF → OXY OFF/100% → </t>
    </r>
    <r>
      <rPr>
        <sz val="10"/>
        <rFont val="Noto Sans CJK SC"/>
        <family val="2"/>
      </rPr>
      <t xml:space="preserve">캐노피 </t>
    </r>
    <r>
      <rPr>
        <sz val="10"/>
        <rFont val="Malgun Gothic"/>
        <family val="0"/>
        <charset val="1"/>
      </rPr>
      <t xml:space="preserve">OPEN</t>
    </r>
  </si>
  <si>
    <t xml:space="preserve">2-29~2-30</t>
  </si>
  <si>
    <t xml:space="preserve">N-34</t>
  </si>
  <si>
    <r>
      <rPr>
        <sz val="10"/>
        <rFont val="Noto Sans CJK SC"/>
        <family val="2"/>
      </rPr>
      <t xml:space="preserve">신속 재출격</t>
    </r>
    <r>
      <rPr>
        <sz val="10"/>
        <rFont val="Malgun Gothic"/>
        <family val="0"/>
        <charset val="1"/>
      </rPr>
      <t xml:space="preserve">(Quick Turnaround) - </t>
    </r>
    <r>
      <rPr>
        <sz val="10"/>
        <rFont val="Noto Sans CJK SC"/>
        <family val="2"/>
      </rPr>
      <t xml:space="preserve">엔진 정지 전 절차</t>
    </r>
  </si>
  <si>
    <t xml:space="preserve">Quick Turnaround - Prior to Engine Shutdown</t>
  </si>
  <si>
    <r>
      <rPr>
        <sz val="10"/>
        <rFont val="Noto Sans CJK SC"/>
        <family val="2"/>
      </rPr>
      <t xml:space="preserve">동일 미션 내 재출격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재무장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재급유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계획으로 착륙했을 때</t>
    </r>
  </si>
  <si>
    <r>
      <rPr>
        <sz val="10"/>
        <rFont val="Malgun Gothic"/>
        <family val="0"/>
        <charset val="1"/>
      </rPr>
      <t xml:space="preserve">N-25 → N-26 → F8 Ground Crew </t>
    </r>
    <r>
      <rPr>
        <sz val="10"/>
        <rFont val="Noto Sans CJK SC"/>
        <family val="2"/>
      </rPr>
      <t xml:space="preserve">급유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재무장 → </t>
    </r>
    <r>
      <rPr>
        <sz val="10"/>
        <rFont val="Malgun Gothic"/>
        <family val="0"/>
        <charset val="1"/>
      </rPr>
      <t xml:space="preserve">N-27 → </t>
    </r>
    <r>
      <rPr>
        <sz val="10"/>
        <rFont val="Noto Sans CJK SC"/>
        <family val="2"/>
      </rPr>
      <t xml:space="preserve">재시동</t>
    </r>
    <r>
      <rPr>
        <sz val="10"/>
        <rFont val="Malgun Gothic"/>
        <family val="0"/>
        <charset val="1"/>
      </rPr>
      <t xml:space="preserve">(N-09/N-11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N-29)</t>
    </r>
  </si>
  <si>
    <t xml:space="preserve">MP-04</t>
  </si>
  <si>
    <r>
      <rPr>
        <sz val="10"/>
        <rFont val="Noto Sans CJK SC"/>
        <family val="2"/>
      </rPr>
      <t xml:space="preserve">항공기 코킹</t>
    </r>
    <r>
      <rPr>
        <sz val="10"/>
        <rFont val="Malgun Gothic"/>
        <family val="0"/>
        <charset val="1"/>
      </rPr>
      <t xml:space="preserve">(Cocking) </t>
    </r>
    <r>
      <rPr>
        <sz val="10"/>
        <rFont val="Noto Sans CJK SC"/>
        <family val="2"/>
      </rPr>
      <t xml:space="preserve">절차</t>
    </r>
  </si>
  <si>
    <t xml:space="preserve">Aircraft Cocking Procedures</t>
  </si>
  <si>
    <r>
      <rPr>
        <sz val="10"/>
        <rFont val="Noto Sans CJK SC"/>
        <family val="2"/>
      </rPr>
      <t xml:space="preserve">일반 </t>
    </r>
    <r>
      <rPr>
        <sz val="10"/>
        <rFont val="Malgun Gothic"/>
        <family val="0"/>
        <charset val="1"/>
      </rPr>
      <t xml:space="preserve">GC </t>
    </r>
    <r>
      <rPr>
        <sz val="10"/>
        <rFont val="Noto Sans CJK SC"/>
        <family val="2"/>
      </rPr>
      <t xml:space="preserve">정렬 완료</t>
    </r>
    <r>
      <rPr>
        <sz val="10"/>
        <rFont val="Malgun Gothic"/>
        <family val="0"/>
        <charset val="1"/>
      </rPr>
      <t xml:space="preserve">(flashing RDY/ALIGN) </t>
    </r>
    <r>
      <rPr>
        <sz val="10"/>
        <rFont val="Noto Sans CJK SC"/>
        <family val="2"/>
      </rPr>
      <t xml:space="preserve">직후 또는 착륙 후 주기 위치에서 엔진 정지 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다음 소티에 </t>
    </r>
    <r>
      <rPr>
        <sz val="10"/>
        <rFont val="Malgun Gothic"/>
        <family val="0"/>
        <charset val="1"/>
      </rPr>
      <t xml:space="preserve">STOR HDG </t>
    </r>
    <r>
      <rPr>
        <sz val="10"/>
        <rFont val="Noto Sans CJK SC"/>
        <family val="2"/>
      </rPr>
      <t xml:space="preserve">정렬을 계획한 경우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</si>
  <si>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STOR HDG </t>
    </r>
    <r>
      <rPr>
        <sz val="10"/>
        <rFont val="Noto Sans CJK SC"/>
        <family val="2"/>
      </rPr>
      <t xml:space="preserve">정렬은 미션 설정에 의존 — 코킹 절차 불필요</t>
    </r>
  </si>
  <si>
    <t xml:space="preserve">1-278</t>
  </si>
  <si>
    <t xml:space="preserve">AG-16</t>
  </si>
  <si>
    <r>
      <rPr>
        <sz val="10"/>
        <rFont val="Noto Sans CJK SC"/>
        <family val="2"/>
      </rPr>
      <t xml:space="preserve">타겟팅 포드</t>
    </r>
    <r>
      <rPr>
        <sz val="10"/>
        <rFont val="Malgun Gothic"/>
        <family val="0"/>
        <charset val="1"/>
      </rPr>
      <t xml:space="preserve">(TGP) </t>
    </r>
    <r>
      <rPr>
        <sz val="10"/>
        <rFont val="Noto Sans CJK SC"/>
        <family val="2"/>
      </rPr>
      <t xml:space="preserve">전원 차단 절차</t>
    </r>
  </si>
  <si>
    <t xml:space="preserve">Targeting Pod Power Down Procedures</t>
  </si>
  <si>
    <r>
      <rPr>
        <sz val="10"/>
        <rFont val="Noto Sans CJK SC"/>
        <family val="2"/>
      </rPr>
      <t xml:space="preserve">착륙 후 항전 전원 차단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Fence-Out/</t>
    </r>
    <r>
      <rPr>
        <sz val="10"/>
        <rFont val="Noto Sans CJK SC"/>
        <family val="2"/>
      </rPr>
      <t xml:space="preserve">비상으로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사용 종료 시</t>
    </r>
  </si>
  <si>
    <r>
      <rPr>
        <sz val="10"/>
        <rFont val="Malgun Gothic"/>
        <family val="0"/>
        <charset val="1"/>
      </rPr>
      <t xml:space="preserve">DMS(TGP SOI) → TMS DOWN(</t>
    </r>
    <r>
      <rPr>
        <sz val="10"/>
        <rFont val="Noto Sans CJK SC"/>
        <family val="2"/>
      </rPr>
      <t xml:space="preserve">트랙 해제</t>
    </r>
    <r>
      <rPr>
        <sz val="10"/>
        <rFont val="Malgun Gothic"/>
        <family val="0"/>
        <charset val="1"/>
      </rPr>
      <t xml:space="preserve">) → OVRD OSB(STBY) → RIGHT HDPT OFF</t>
    </r>
  </si>
  <si>
    <r>
      <rPr>
        <b val="true"/>
        <sz val="10"/>
        <rFont val="Malgun Gothic"/>
        <family val="0"/>
        <charset val="1"/>
      </rPr>
      <t xml:space="preserve">■ PX  </t>
    </r>
    <r>
      <rPr>
        <b val="true"/>
        <sz val="10"/>
        <rFont val="Noto Sans CJK SC"/>
        <family val="2"/>
      </rPr>
      <t xml:space="preserve">비정상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비상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발생 시</t>
    </r>
    <r>
      <rPr>
        <b val="true"/>
        <sz val="10"/>
        <rFont val="Malgun Gothic"/>
        <family val="0"/>
        <charset val="1"/>
      </rPr>
      <t xml:space="preserve">)  (Abnormal / Emergency) — </t>
    </r>
    <r>
      <rPr>
        <b val="true"/>
        <sz val="10"/>
        <rFont val="Noto Sans CJK SC"/>
        <family val="2"/>
      </rPr>
      <t xml:space="preserve">고장 표시</t>
    </r>
    <r>
      <rPr>
        <b val="true"/>
        <sz val="10"/>
        <rFont val="Malgun Gothic"/>
        <family val="0"/>
        <charset val="1"/>
      </rPr>
      <t xml:space="preserve">(PFL/MFL), </t>
    </r>
    <r>
      <rPr>
        <b val="true"/>
        <sz val="10"/>
        <rFont val="Noto Sans CJK SC"/>
        <family val="2"/>
      </rPr>
      <t xml:space="preserve">계통 고장 백업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비상 투기</t>
    </r>
    <r>
      <rPr>
        <b val="true"/>
        <sz val="10"/>
        <rFont val="Malgun Gothic"/>
        <family val="0"/>
        <charset val="1"/>
      </rPr>
      <t xml:space="preserve">.</t>
    </r>
  </si>
  <si>
    <t xml:space="preserve">PX</t>
  </si>
  <si>
    <r>
      <rPr>
        <sz val="10"/>
        <rFont val="Noto Sans CJK SC"/>
        <family val="2"/>
      </rPr>
      <t xml:space="preserve">비정상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비상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발생 시</t>
    </r>
    <r>
      <rPr>
        <sz val="10"/>
        <rFont val="Malgun Gothic"/>
        <family val="0"/>
        <charset val="1"/>
      </rPr>
      <t xml:space="preserve">)</t>
    </r>
  </si>
  <si>
    <t xml:space="preserve">E1-00</t>
  </si>
  <si>
    <t xml:space="preserve">개요</t>
  </si>
  <si>
    <t xml:space="preserve">Introduction</t>
  </si>
  <si>
    <r>
      <rPr>
        <sz val="10"/>
        <rFont val="Noto Sans CJK SC"/>
        <family val="2"/>
      </rPr>
      <t xml:space="preserve">어떤 경고등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코션등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음성경보</t>
    </r>
    <r>
      <rPr>
        <sz val="10"/>
        <rFont val="Malgun Gothic"/>
        <family val="0"/>
        <charset val="1"/>
      </rPr>
      <t xml:space="preserve">(VMS 'WARNING'/'CAUTION')</t>
    </r>
    <r>
      <rPr>
        <sz val="10"/>
        <rFont val="Noto Sans CJK SC"/>
        <family val="2"/>
      </rPr>
      <t xml:space="preserve">든 발생하거나 비정상 거동을 인지한 시점</t>
    </r>
  </si>
  <si>
    <r>
      <rPr>
        <sz val="10"/>
        <rFont val="Noto Sans CJK SC"/>
        <family val="2"/>
      </rPr>
      <t xml:space="preserve">조종 유지 → 경고등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코션</t>
    </r>
    <r>
      <rPr>
        <sz val="10"/>
        <rFont val="Malgun Gothic"/>
        <family val="0"/>
        <charset val="1"/>
      </rPr>
      <t xml:space="preserve">·PFLD </t>
    </r>
    <r>
      <rPr>
        <sz val="10"/>
        <rFont val="Noto Sans CJK SC"/>
        <family val="2"/>
      </rPr>
      <t xml:space="preserve">확인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리셋</t>
    </r>
    <r>
      <rPr>
        <sz val="10"/>
        <rFont val="Malgun Gothic"/>
        <family val="0"/>
        <charset val="1"/>
      </rPr>
      <t xml:space="preserve">(Master Caution, F-ACK, WARN RESET) → </t>
    </r>
    <r>
      <rPr>
        <sz val="10"/>
        <rFont val="Noto Sans CJK SC"/>
        <family val="2"/>
      </rPr>
      <t xml:space="preserve">해당 절차 → 최근접 비행장 착륙 판단</t>
    </r>
  </si>
  <si>
    <t xml:space="preserve">●</t>
  </si>
  <si>
    <t xml:space="preserve">3-3</t>
  </si>
  <si>
    <t xml:space="preserve">E1-02</t>
  </si>
  <si>
    <r>
      <rPr>
        <sz val="10"/>
        <rFont val="Noto Sans CJK SC"/>
        <family val="2"/>
      </rPr>
      <t xml:space="preserve">화재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과열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연료누출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</t>
    </r>
    <r>
      <rPr>
        <sz val="10"/>
        <rFont val="Malgun Gothic"/>
        <family val="0"/>
        <charset val="1"/>
      </rPr>
      <t xml:space="preserve">)</t>
    </r>
  </si>
  <si>
    <t xml:space="preserve">Fire/Overheat/Fuel Leak (Ground)</t>
  </si>
  <si>
    <r>
      <rPr>
        <sz val="10"/>
        <rFont val="Noto Sans CJK SC"/>
        <family val="2"/>
      </rPr>
      <t xml:space="preserve">지상에서 </t>
    </r>
    <r>
      <rPr>
        <sz val="10"/>
        <rFont val="Malgun Gothic"/>
        <family val="0"/>
        <charset val="1"/>
      </rPr>
      <t xml:space="preserve">ENG FIRE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/OVERHEAT </t>
    </r>
    <r>
      <rPr>
        <sz val="10"/>
        <rFont val="Noto Sans CJK SC"/>
        <family val="2"/>
      </rPr>
      <t xml:space="preserve">코션 점등</t>
    </r>
    <r>
      <rPr>
        <sz val="10"/>
        <rFont val="Malgun Gothic"/>
        <family val="0"/>
        <charset val="1"/>
      </rPr>
      <t xml:space="preserve">, FTIT 935°C </t>
    </r>
    <r>
      <rPr>
        <sz val="10"/>
        <rFont val="Noto Sans CJK SC"/>
        <family val="2"/>
      </rPr>
      <t xml:space="preserve">초과</t>
    </r>
    <r>
      <rPr>
        <sz val="10"/>
        <rFont val="Malgun Gothic"/>
        <family val="0"/>
        <charset val="1"/>
      </rPr>
      <t xml:space="preserve">(GE129), </t>
    </r>
    <r>
      <rPr>
        <sz val="10"/>
        <rFont val="Noto Sans CJK SC"/>
        <family val="2"/>
      </rPr>
      <t xml:space="preserve">연기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화염 육안 확인 또는 지상요원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무전 통보</t>
    </r>
  </si>
  <si>
    <r>
      <rPr>
        <sz val="10"/>
        <rFont val="Malgun Gothic"/>
        <family val="0"/>
        <charset val="1"/>
      </rPr>
      <t xml:space="preserve">Throttle OFF(RSHIFT+END) → JFS OFF → FUEL MASTER OFF → ENG FEED OFF → </t>
    </r>
    <r>
      <rPr>
        <sz val="10"/>
        <rFont val="Noto Sans CJK SC"/>
        <family val="2"/>
      </rPr>
      <t xml:space="preserve">캐노피 개방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이탈</t>
    </r>
  </si>
  <si>
    <t xml:space="preserve">3-26</t>
  </si>
  <si>
    <t xml:space="preserve">E1-03</t>
  </si>
  <si>
    <r>
      <rPr>
        <sz val="10"/>
        <rFont val="Noto Sans CJK SC"/>
        <family val="2"/>
      </rPr>
      <t xml:space="preserve">핫스타트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</t>
    </r>
    <r>
      <rPr>
        <sz val="10"/>
        <rFont val="Malgun Gothic"/>
        <family val="0"/>
        <charset val="1"/>
      </rPr>
      <t xml:space="preserve">)</t>
    </r>
  </si>
  <si>
    <t xml:space="preserve">Hot Start (Ground)</t>
  </si>
  <si>
    <r>
      <rPr>
        <sz val="10"/>
        <rFont val="Noto Sans CJK SC"/>
        <family val="2"/>
      </rPr>
      <t xml:space="preserve">시동 중 </t>
    </r>
    <r>
      <rPr>
        <sz val="10"/>
        <rFont val="Malgun Gothic"/>
        <family val="0"/>
        <charset val="1"/>
      </rPr>
      <t xml:space="preserve">RPM 40% </t>
    </r>
    <r>
      <rPr>
        <sz val="10"/>
        <rFont val="Noto Sans CJK SC"/>
        <family val="2"/>
      </rPr>
      <t xml:space="preserve">미만에서 </t>
    </r>
    <r>
      <rPr>
        <sz val="10"/>
        <rFont val="Malgun Gothic"/>
        <family val="0"/>
        <charset val="1"/>
      </rPr>
      <t xml:space="preserve">FTIT</t>
    </r>
    <r>
      <rPr>
        <sz val="10"/>
        <rFont val="Noto Sans CJK SC"/>
        <family val="2"/>
      </rPr>
      <t xml:space="preserve">가 </t>
    </r>
    <r>
      <rPr>
        <sz val="10"/>
        <rFont val="Malgun Gothic"/>
        <family val="0"/>
        <charset val="1"/>
      </rPr>
      <t xml:space="preserve">750°C</t>
    </r>
    <r>
      <rPr>
        <sz val="10"/>
        <rFont val="Noto Sans CJK SC"/>
        <family val="2"/>
      </rPr>
      <t xml:space="preserve">를 지나며 비정상 상승하거나 </t>
    </r>
    <r>
      <rPr>
        <sz val="10"/>
        <rFont val="Malgun Gothic"/>
        <family val="0"/>
        <charset val="1"/>
      </rPr>
      <t xml:space="preserve">935°C(GE129) </t>
    </r>
    <r>
      <rPr>
        <sz val="10"/>
        <rFont val="Noto Sans CJK SC"/>
        <family val="2"/>
      </rPr>
      <t xml:space="preserve">초과 시</t>
    </r>
  </si>
  <si>
    <r>
      <rPr>
        <sz val="10"/>
        <rFont val="Malgun Gothic"/>
        <family val="0"/>
        <charset val="1"/>
      </rPr>
      <t xml:space="preserve">Throttle OFF → FTIT </t>
    </r>
    <r>
      <rPr>
        <sz val="10"/>
        <rFont val="Noto Sans CJK SC"/>
        <family val="2"/>
      </rPr>
      <t xml:space="preserve">감시 → </t>
    </r>
    <r>
      <rPr>
        <sz val="10"/>
        <rFont val="Malgun Gothic"/>
        <family val="0"/>
        <charset val="1"/>
      </rPr>
      <t xml:space="preserve">(FTIT≥500°C) JFS START2</t>
    </r>
    <r>
      <rPr>
        <sz val="10"/>
        <rFont val="Noto Sans CJK SC"/>
        <family val="2"/>
      </rPr>
      <t xml:space="preserve">로 모터링 → </t>
    </r>
    <r>
      <rPr>
        <sz val="10"/>
        <rFont val="Malgun Gothic"/>
        <family val="0"/>
        <charset val="1"/>
      </rPr>
      <t xml:space="preserve">FTIT 200°C </t>
    </r>
    <r>
      <rPr>
        <sz val="10"/>
        <rFont val="Noto Sans CJK SC"/>
        <family val="2"/>
      </rPr>
      <t xml:space="preserve">이하 후 재시동</t>
    </r>
  </si>
  <si>
    <t xml:space="preserve">E1-04</t>
  </si>
  <si>
    <r>
      <rPr>
        <sz val="10"/>
        <rFont val="Noto Sans CJK SC"/>
        <family val="2"/>
      </rPr>
      <t xml:space="preserve">행 스타트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무시동</t>
    </r>
    <r>
      <rPr>
        <sz val="10"/>
        <rFont val="Malgun Gothic"/>
        <family val="0"/>
        <charset val="1"/>
      </rPr>
      <t xml:space="preserve">(PW229)</t>
    </r>
  </si>
  <si>
    <t xml:space="preserve">Hung Start/No Start PW 229</t>
  </si>
  <si>
    <r>
      <rPr>
        <sz val="10"/>
        <rFont val="Noto Sans CJK SC"/>
        <family val="2"/>
      </rPr>
      <t xml:space="preserve">시동 중 </t>
    </r>
    <r>
      <rPr>
        <sz val="10"/>
        <rFont val="Malgun Gothic"/>
        <family val="0"/>
        <charset val="1"/>
      </rPr>
      <t xml:space="preserve">RPM</t>
    </r>
    <r>
      <rPr>
        <sz val="10"/>
        <rFont val="Noto Sans CJK SC"/>
        <family val="2"/>
      </rPr>
      <t xml:space="preserve">이 </t>
    </r>
    <r>
      <rPr>
        <sz val="10"/>
        <rFont val="Malgun Gothic"/>
        <family val="0"/>
        <charset val="1"/>
      </rPr>
      <t xml:space="preserve">IDLE </t>
    </r>
    <r>
      <rPr>
        <sz val="10"/>
        <rFont val="Noto Sans CJK SC"/>
        <family val="2"/>
      </rPr>
      <t xml:space="preserve">이하에서 정체</t>
    </r>
    <r>
      <rPr>
        <sz val="10"/>
        <rFont val="Malgun Gothic"/>
        <family val="0"/>
        <charset val="1"/>
      </rPr>
      <t xml:space="preserve">(FTIT&lt;800°C)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20</t>
    </r>
    <r>
      <rPr>
        <sz val="10"/>
        <rFont val="Noto Sans CJK SC"/>
        <family val="2"/>
      </rPr>
      <t xml:space="preserve">초 내 점화 실패</t>
    </r>
  </si>
  <si>
    <r>
      <rPr>
        <sz val="10"/>
        <rFont val="Malgun Gothic"/>
        <family val="0"/>
        <charset val="1"/>
      </rPr>
      <t xml:space="preserve">PW229 — </t>
    </r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(E1-05 </t>
    </r>
    <r>
      <rPr>
        <sz val="10"/>
        <rFont val="Noto Sans CJK SC"/>
        <family val="2"/>
      </rPr>
      <t xml:space="preserve">참조</t>
    </r>
    <r>
      <rPr>
        <sz val="10"/>
        <rFont val="Malgun Gothic"/>
        <family val="0"/>
        <charset val="1"/>
      </rPr>
      <t xml:space="preserve">)</t>
    </r>
  </si>
  <si>
    <t xml:space="preserve">E1-05</t>
  </si>
  <si>
    <r>
      <rPr>
        <sz val="10"/>
        <rFont val="Noto Sans CJK SC"/>
        <family val="2"/>
      </rPr>
      <t xml:space="preserve">행 스타트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무시동</t>
    </r>
    <r>
      <rPr>
        <sz val="10"/>
        <rFont val="Malgun Gothic"/>
        <family val="0"/>
        <charset val="1"/>
      </rPr>
      <t xml:space="preserve">(GE129)</t>
    </r>
  </si>
  <si>
    <t xml:space="preserve">Hung Start/No Start GE 129</t>
  </si>
  <si>
    <r>
      <rPr>
        <sz val="10"/>
        <rFont val="Noto Sans CJK SC"/>
        <family val="2"/>
      </rPr>
      <t xml:space="preserve">시동 중 </t>
    </r>
    <r>
      <rPr>
        <sz val="10"/>
        <rFont val="Malgun Gothic"/>
        <family val="0"/>
        <charset val="1"/>
      </rPr>
      <t xml:space="preserve">RPM</t>
    </r>
    <r>
      <rPr>
        <sz val="10"/>
        <rFont val="Noto Sans CJK SC"/>
        <family val="2"/>
      </rPr>
      <t xml:space="preserve">이 </t>
    </r>
    <r>
      <rPr>
        <sz val="10"/>
        <rFont val="Malgun Gothic"/>
        <family val="0"/>
        <charset val="1"/>
      </rPr>
      <t xml:space="preserve">IDLE </t>
    </r>
    <r>
      <rPr>
        <sz val="10"/>
        <rFont val="Noto Sans CJK SC"/>
        <family val="2"/>
      </rPr>
      <t xml:space="preserve">이하에서 정체</t>
    </r>
    <r>
      <rPr>
        <sz val="10"/>
        <rFont val="Malgun Gothic"/>
        <family val="0"/>
        <charset val="1"/>
      </rPr>
      <t xml:space="preserve">(FTIT&lt;935°C) </t>
    </r>
    <r>
      <rPr>
        <sz val="10"/>
        <rFont val="Noto Sans CJK SC"/>
        <family val="2"/>
      </rPr>
      <t xml:space="preserve">또는 스로틀 </t>
    </r>
    <r>
      <rPr>
        <sz val="10"/>
        <rFont val="Malgun Gothic"/>
        <family val="0"/>
        <charset val="1"/>
      </rPr>
      <t xml:space="preserve">IDLE </t>
    </r>
    <r>
      <rPr>
        <sz val="10"/>
        <rFont val="Noto Sans CJK SC"/>
        <family val="2"/>
      </rPr>
      <t xml:space="preserve">후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초 내 점화 실패</t>
    </r>
  </si>
  <si>
    <r>
      <rPr>
        <sz val="10"/>
        <rFont val="Malgun Gothic"/>
        <family val="0"/>
        <charset val="1"/>
      </rPr>
      <t xml:space="preserve">Throttle OFF → </t>
    </r>
    <r>
      <rPr>
        <sz val="10"/>
        <rFont val="Noto Sans CJK SC"/>
        <family val="2"/>
      </rPr>
      <t xml:space="preserve">징후 확인 → </t>
    </r>
    <r>
      <rPr>
        <sz val="10"/>
        <rFont val="Malgun Gothic"/>
        <family val="0"/>
        <charset val="1"/>
      </rPr>
      <t xml:space="preserve">(DCS) JFS START2 </t>
    </r>
    <r>
      <rPr>
        <sz val="10"/>
        <rFont val="Noto Sans CJK SC"/>
        <family val="2"/>
      </rPr>
      <t xml:space="preserve">재시동 시도</t>
    </r>
  </si>
  <si>
    <t xml:space="preserve">E1-06</t>
  </si>
  <si>
    <r>
      <rPr>
        <sz val="10"/>
        <rFont val="Noto Sans CJK SC"/>
        <family val="2"/>
      </rPr>
      <t xml:space="preserve">엔진 자동가속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</t>
    </r>
    <r>
      <rPr>
        <sz val="10"/>
        <rFont val="Malgun Gothic"/>
        <family val="0"/>
        <charset val="1"/>
      </rPr>
      <t xml:space="preserve">)</t>
    </r>
  </si>
  <si>
    <t xml:space="preserve">Engine Autoacceleration (Ground)</t>
  </si>
  <si>
    <r>
      <rPr>
        <sz val="10"/>
        <rFont val="Noto Sans CJK SC"/>
        <family val="2"/>
      </rPr>
      <t xml:space="preserve">지상에서 스로틀 위치와 무관하게 엔진 </t>
    </r>
    <r>
      <rPr>
        <sz val="10"/>
        <rFont val="Malgun Gothic"/>
        <family val="0"/>
        <charset val="1"/>
      </rPr>
      <t xml:space="preserve">RPM</t>
    </r>
    <r>
      <rPr>
        <sz val="10"/>
        <rFont val="Noto Sans CJK SC"/>
        <family val="2"/>
      </rPr>
      <t xml:space="preserve">이 자동 상승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자동가속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할 때</t>
    </r>
  </si>
  <si>
    <r>
      <rPr>
        <sz val="10"/>
        <rFont val="Malgun Gothic"/>
        <family val="0"/>
        <charset val="1"/>
      </rPr>
      <t xml:space="preserve">Throttle OFF → FUEL MASTER OFF → 1</t>
    </r>
    <r>
      <rPr>
        <sz val="10"/>
        <rFont val="Noto Sans CJK SC"/>
        <family val="2"/>
      </rPr>
      <t xml:space="preserve">회 견고한 제동 → 주차브레이크</t>
    </r>
  </si>
  <si>
    <t xml:space="preserve">E1-07</t>
  </si>
  <si>
    <r>
      <rPr>
        <sz val="10"/>
        <rFont val="Noto Sans CJK SC"/>
        <family val="2"/>
      </rPr>
      <t xml:space="preserve">안티스키드 오작동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</t>
    </r>
    <r>
      <rPr>
        <sz val="10"/>
        <rFont val="Malgun Gothic"/>
        <family val="0"/>
        <charset val="1"/>
      </rPr>
      <t xml:space="preserve">)</t>
    </r>
  </si>
  <si>
    <t xml:space="preserve">Antiskid Malfunction (Ground)</t>
  </si>
  <si>
    <r>
      <rPr>
        <sz val="10"/>
        <rFont val="Noto Sans CJK SC"/>
        <family val="2"/>
      </rPr>
      <t xml:space="preserve">지상속도 </t>
    </r>
    <r>
      <rPr>
        <sz val="10"/>
        <rFont val="Malgun Gothic"/>
        <family val="0"/>
        <charset val="1"/>
      </rPr>
      <t xml:space="preserve">5kt </t>
    </r>
    <r>
      <rPr>
        <sz val="10"/>
        <rFont val="Noto Sans CJK SC"/>
        <family val="2"/>
      </rPr>
      <t xml:space="preserve">이상에서 </t>
    </r>
    <r>
      <rPr>
        <sz val="10"/>
        <rFont val="Malgun Gothic"/>
        <family val="0"/>
        <charset val="1"/>
      </rPr>
      <t xml:space="preserve">ANTI SKID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(ANTISKID </t>
    </r>
    <r>
      <rPr>
        <sz val="10"/>
        <rFont val="Noto Sans CJK SC"/>
        <family val="2"/>
      </rPr>
      <t xml:space="preserve">스위치가 </t>
    </r>
    <r>
      <rPr>
        <sz val="10"/>
        <rFont val="Malgun Gothic"/>
        <family val="0"/>
        <charset val="1"/>
      </rPr>
      <t xml:space="preserve">ANTI-SKID </t>
    </r>
    <r>
      <rPr>
        <sz val="10"/>
        <rFont val="Noto Sans CJK SC"/>
        <family val="2"/>
      </rPr>
      <t xml:space="preserve">위치인 상태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</si>
  <si>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드래그슈트 없음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대칭 최대 제동 → </t>
    </r>
    <r>
      <rPr>
        <sz val="10"/>
        <rFont val="Malgun Gothic"/>
        <family val="0"/>
        <charset val="1"/>
      </rPr>
      <t xml:space="preserve">NWS </t>
    </r>
    <r>
      <rPr>
        <sz val="10"/>
        <rFont val="Noto Sans CJK SC"/>
        <family val="2"/>
      </rPr>
      <t xml:space="preserve">필요 시 → </t>
    </r>
    <r>
      <rPr>
        <sz val="10"/>
        <rFont val="Malgun Gothic"/>
        <family val="0"/>
        <charset val="1"/>
      </rPr>
      <t xml:space="preserve">BRAKES CHAN 2 → ANTISKID OFF</t>
    </r>
  </si>
  <si>
    <t xml:space="preserve">3-26 ~ 3-27</t>
  </si>
  <si>
    <t xml:space="preserve">E1-08</t>
  </si>
  <si>
    <t xml:space="preserve">브레이크 고장</t>
  </si>
  <si>
    <t xml:space="preserve">Brake Failure</t>
  </si>
  <si>
    <r>
      <rPr>
        <sz val="10"/>
        <rFont val="Noto Sans CJK SC"/>
        <family val="2"/>
      </rPr>
      <t xml:space="preserve">브레이크 페달 적용 시 감속이 없거나 한쪽 브레이크만 작동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페달력 이상 증가</t>
    </r>
  </si>
  <si>
    <r>
      <rPr>
        <sz val="10"/>
        <rFont val="Noto Sans CJK SC"/>
        <family val="2"/>
      </rPr>
      <t xml:space="preserve">페달 해제 → </t>
    </r>
    <r>
      <rPr>
        <sz val="10"/>
        <rFont val="Malgun Gothic"/>
        <family val="0"/>
        <charset val="1"/>
      </rPr>
      <t xml:space="preserve">BRAKES </t>
    </r>
    <r>
      <rPr>
        <sz val="10"/>
        <rFont val="Noto Sans CJK SC"/>
        <family val="2"/>
      </rPr>
      <t xml:space="preserve">채널 변경 → </t>
    </r>
    <r>
      <rPr>
        <sz val="10"/>
        <rFont val="Malgun Gothic"/>
        <family val="0"/>
        <charset val="1"/>
      </rPr>
      <t xml:space="preserve">(ANTISKID OFF+CHAN 2) → NWS/</t>
    </r>
    <r>
      <rPr>
        <sz val="10"/>
        <rFont val="Noto Sans CJK SC"/>
        <family val="2"/>
      </rPr>
      <t xml:space="preserve">러더 → 스피드브레이크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공력제동 → 주차브레이크</t>
    </r>
    <r>
      <rPr>
        <sz val="10"/>
        <rFont val="Malgun Gothic"/>
        <family val="0"/>
        <charset val="1"/>
      </rPr>
      <t xml:space="preserve">/HOOK DN</t>
    </r>
  </si>
  <si>
    <t xml:space="preserve">3-27 ~ 3-28</t>
  </si>
  <si>
    <t xml:space="preserve">E1-09</t>
  </si>
  <si>
    <t xml:space="preserve">브레이크 과열</t>
  </si>
  <si>
    <t xml:space="preserve">Hot Brakes</t>
  </si>
  <si>
    <r>
      <rPr>
        <sz val="10"/>
        <rFont val="Noto Sans CJK SC"/>
        <family val="2"/>
      </rPr>
      <t xml:space="preserve">고속 어보트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중량 착륙 후 브레이크 에너지 한계 초과가 의심되거나 브레이크 끌림 징후</t>
    </r>
  </si>
  <si>
    <r>
      <rPr>
        <sz val="10"/>
        <rFont val="Noto Sans CJK SC"/>
        <family val="2"/>
      </rPr>
      <t xml:space="preserve">격리 구역 이동 → 기수 바람 정렬 → </t>
    </r>
    <r>
      <rPr>
        <sz val="10"/>
        <rFont val="Malgun Gothic"/>
        <family val="0"/>
        <charset val="1"/>
      </rPr>
      <t xml:space="preserve">EPU OFF → Throttle OFF(</t>
    </r>
    <r>
      <rPr>
        <sz val="10"/>
        <rFont val="Noto Sans CJK SC"/>
        <family val="2"/>
      </rPr>
      <t xml:space="preserve">주차브레이크 금지</t>
    </r>
    <r>
      <rPr>
        <sz val="10"/>
        <rFont val="Malgun Gothic"/>
        <family val="0"/>
        <charset val="1"/>
      </rPr>
      <t xml:space="preserve">) → (</t>
    </r>
    <r>
      <rPr>
        <sz val="10"/>
        <rFont val="Noto Sans CJK SC"/>
        <family val="2"/>
      </rPr>
      <t xml:space="preserve">초크</t>
    </r>
    <r>
      <rPr>
        <sz val="10"/>
        <rFont val="Malgun Gothic"/>
        <family val="0"/>
        <charset val="1"/>
      </rPr>
      <t xml:space="preserve">) → MAIN PWR OFF</t>
    </r>
  </si>
  <si>
    <t xml:space="preserve">3-28 ~ 3-29</t>
  </si>
  <si>
    <t xml:space="preserve">E1-10</t>
  </si>
  <si>
    <r>
      <rPr>
        <sz val="10"/>
        <rFont val="Noto Sans CJK SC"/>
        <family val="2"/>
      </rPr>
      <t xml:space="preserve">주발전기 고장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</t>
    </r>
    <r>
      <rPr>
        <sz val="10"/>
        <rFont val="Malgun Gothic"/>
        <family val="0"/>
        <charset val="1"/>
      </rPr>
      <t xml:space="preserve">)</t>
    </r>
  </si>
  <si>
    <t xml:space="preserve">Main Generator Failure (Ground)</t>
  </si>
  <si>
    <r>
      <rPr>
        <sz val="10"/>
        <rFont val="Noto Sans CJK SC"/>
        <family val="2"/>
      </rPr>
      <t xml:space="preserve">지상 이동 중 </t>
    </r>
    <r>
      <rPr>
        <sz val="10"/>
        <rFont val="Malgun Gothic"/>
        <family val="0"/>
        <charset val="1"/>
      </rPr>
      <t xml:space="preserve">ELEC SYS </t>
    </r>
    <r>
      <rPr>
        <sz val="10"/>
        <rFont val="Noto Sans CJK SC"/>
        <family val="2"/>
      </rPr>
      <t xml:space="preserve">코션 </t>
    </r>
    <r>
      <rPr>
        <sz val="10"/>
        <rFont val="Malgun Gothic"/>
        <family val="0"/>
        <charset val="1"/>
      </rPr>
      <t xml:space="preserve">+ ELEC </t>
    </r>
    <r>
      <rPr>
        <sz val="10"/>
        <rFont val="Noto Sans CJK SC"/>
        <family val="2"/>
      </rPr>
      <t xml:space="preserve">패널 </t>
    </r>
    <r>
      <rPr>
        <sz val="10"/>
        <rFont val="Malgun Gothic"/>
        <family val="0"/>
        <charset val="1"/>
      </rPr>
      <t xml:space="preserve">MAIN GEN </t>
    </r>
    <r>
      <rPr>
        <sz val="10"/>
        <rFont val="Noto Sans CJK SC"/>
        <family val="2"/>
      </rPr>
      <t xml:space="preserve">등 점등</t>
    </r>
  </si>
  <si>
    <r>
      <rPr>
        <sz val="10"/>
        <rFont val="Malgun Gothic"/>
        <family val="0"/>
        <charset val="1"/>
      </rPr>
      <t xml:space="preserve">MAIN GEN </t>
    </r>
    <r>
      <rPr>
        <sz val="10"/>
        <rFont val="Noto Sans CJK SC"/>
        <family val="2"/>
      </rPr>
      <t xml:space="preserve">점등 → 이륙 포기 → </t>
    </r>
    <r>
      <rPr>
        <sz val="10"/>
        <rFont val="Malgun Gothic"/>
        <family val="0"/>
        <charset val="1"/>
      </rPr>
      <t xml:space="preserve">ELEC CAUTION RESET → </t>
    </r>
    <r>
      <rPr>
        <sz val="10"/>
        <rFont val="Noto Sans CJK SC"/>
        <family val="2"/>
      </rPr>
      <t xml:space="preserve">택시 복귀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정지</t>
    </r>
  </si>
  <si>
    <t xml:space="preserve">3-29</t>
  </si>
  <si>
    <t xml:space="preserve">E1-11</t>
  </si>
  <si>
    <r>
      <rPr>
        <sz val="10"/>
        <rFont val="Noto Sans CJK SC"/>
        <family val="2"/>
      </rPr>
      <t xml:space="preserve">주발전기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보조발전기 동시 고장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</t>
    </r>
    <r>
      <rPr>
        <sz val="10"/>
        <rFont val="Malgun Gothic"/>
        <family val="0"/>
        <charset val="1"/>
      </rPr>
      <t xml:space="preserve">)</t>
    </r>
  </si>
  <si>
    <t xml:space="preserve">Main and Standby Generator Failure (Ground)</t>
  </si>
  <si>
    <r>
      <rPr>
        <sz val="10"/>
        <rFont val="Noto Sans CJK SC"/>
        <family val="2"/>
      </rPr>
      <t xml:space="preserve">지상에서 </t>
    </r>
    <r>
      <rPr>
        <sz val="10"/>
        <rFont val="Malgun Gothic"/>
        <family val="0"/>
        <charset val="1"/>
      </rPr>
      <t xml:space="preserve">MAIN GEN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STBY GEN </t>
    </r>
    <r>
      <rPr>
        <sz val="10"/>
        <rFont val="Noto Sans CJK SC"/>
        <family val="2"/>
      </rPr>
      <t xml:space="preserve">등 동시 점등</t>
    </r>
    <r>
      <rPr>
        <sz val="10"/>
        <rFont val="Malgun Gothic"/>
        <family val="0"/>
        <charset val="1"/>
      </rPr>
      <t xml:space="preserve">(ELEC SYS </t>
    </r>
    <r>
      <rPr>
        <sz val="10"/>
        <rFont val="Noto Sans CJK SC"/>
        <family val="2"/>
      </rPr>
      <t xml:space="preserve">코션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</si>
  <si>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정지 → </t>
    </r>
    <r>
      <rPr>
        <sz val="10"/>
        <rFont val="Malgun Gothic"/>
        <family val="0"/>
        <charset val="1"/>
      </rPr>
      <t xml:space="preserve">(NWS </t>
    </r>
    <r>
      <rPr>
        <sz val="10"/>
        <rFont val="Noto Sans CJK SC"/>
        <family val="2"/>
      </rPr>
      <t xml:space="preserve">필요 시</t>
    </r>
    <r>
      <rPr>
        <sz val="10"/>
        <rFont val="Malgun Gothic"/>
        <family val="0"/>
        <charset val="1"/>
      </rPr>
      <t xml:space="preserve">) EPU ON → PARKING BRAKE → OXYGEN 100% → EPU OFF → ELEC CAUTION RESET</t>
    </r>
  </si>
  <si>
    <t xml:space="preserve">E1-12</t>
  </si>
  <si>
    <t xml:space="preserve">비상 진입 및 승무원 구조</t>
  </si>
  <si>
    <t xml:space="preserve">Emergency Entrance and Crew Rescue</t>
  </si>
  <si>
    <r>
      <rPr>
        <sz val="10"/>
        <rFont val="Noto Sans CJK SC"/>
        <family val="2"/>
      </rPr>
      <t xml:space="preserve">지상 사고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화재로 조종사가 스스로 탈출하지 못해 외부 구조가 필요할 때</t>
    </r>
  </si>
  <si>
    <t xml:space="preserve">미구현 — 지상요원 구조 절차</t>
  </si>
  <si>
    <t xml:space="preserve">3-29 ~ 3-32</t>
  </si>
  <si>
    <t xml:space="preserve">E1-13</t>
  </si>
  <si>
    <t xml:space="preserve">지상 비상투하</t>
  </si>
  <si>
    <t xml:space="preserve">Emergency Ground Jettison</t>
  </si>
  <si>
    <r>
      <rPr>
        <sz val="10"/>
        <rFont val="Noto Sans CJK SC"/>
        <family val="2"/>
      </rPr>
      <t xml:space="preserve">지상 화재 등으로 스토어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연료탱크 즉시 분리가 불가피하다고 판단될 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최후 수단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</si>
  <si>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최후 수단</t>
    </r>
    <r>
      <rPr>
        <sz val="10"/>
        <rFont val="Malgun Gothic"/>
        <family val="0"/>
        <charset val="1"/>
      </rPr>
      <t xml:space="preserve">) GND JETT UP → EMER STORES JETTISON </t>
    </r>
    <r>
      <rPr>
        <sz val="10"/>
        <rFont val="Noto Sans CJK SC"/>
        <family val="2"/>
      </rPr>
      <t xml:space="preserve">버튼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선택투기는 </t>
    </r>
    <r>
      <rPr>
        <sz val="10"/>
        <rFont val="Malgun Gothic"/>
        <family val="0"/>
        <charset val="1"/>
      </rPr>
      <t xml:space="preserve">SMS S-J → WPN REL)</t>
    </r>
  </si>
  <si>
    <t xml:space="preserve">E1-14</t>
  </si>
  <si>
    <t xml:space="preserve">지상 탈출</t>
  </si>
  <si>
    <t xml:space="preserve">Ground Egress</t>
  </si>
  <si>
    <r>
      <rPr>
        <sz val="10"/>
        <rFont val="Noto Sans CJK SC"/>
        <family val="2"/>
      </rPr>
      <t xml:space="preserve">지상에서 화재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폭발 위험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하이드라진 누출 등으로 항공기 이탈이 필요할 때</t>
    </r>
  </si>
  <si>
    <r>
      <rPr>
        <sz val="10"/>
        <rFont val="Malgun Gothic"/>
        <family val="0"/>
        <charset val="1"/>
      </rPr>
      <t xml:space="preserve">Throttle OFF → </t>
    </r>
    <r>
      <rPr>
        <sz val="10"/>
        <rFont val="Noto Sans CJK SC"/>
        <family val="2"/>
      </rPr>
      <t xml:space="preserve">좌석 레버 </t>
    </r>
    <r>
      <rPr>
        <sz val="10"/>
        <rFont val="Malgun Gothic"/>
        <family val="0"/>
        <charset val="1"/>
      </rPr>
      <t xml:space="preserve">SAFE → (</t>
    </r>
    <r>
      <rPr>
        <sz val="10"/>
        <rFont val="Noto Sans CJK SC"/>
        <family val="2"/>
      </rPr>
      <t xml:space="preserve">하네스</t>
    </r>
    <r>
      <rPr>
        <sz val="10"/>
        <rFont val="Malgun Gothic"/>
        <family val="0"/>
        <charset val="1"/>
      </rPr>
      <t xml:space="preserve">) → EPU OFF → ELEC CAUTION RESET → </t>
    </r>
    <r>
      <rPr>
        <sz val="10"/>
        <rFont val="Noto Sans CJK SC"/>
        <family val="2"/>
      </rPr>
      <t xml:space="preserve">캐노피 개방</t>
    </r>
    <r>
      <rPr>
        <sz val="10"/>
        <rFont val="Malgun Gothic"/>
        <family val="0"/>
        <charset val="1"/>
      </rPr>
      <t xml:space="preserve">(LCTRL+C)</t>
    </r>
  </si>
  <si>
    <t xml:space="preserve">3-29 ~ 3-30</t>
  </si>
  <si>
    <t xml:space="preserve">E1-15</t>
  </si>
  <si>
    <t xml:space="preserve">핫리퓨얼링 비상상황</t>
  </si>
  <si>
    <t xml:space="preserve">Hot Refueling Emergency</t>
  </si>
  <si>
    <r>
      <rPr>
        <sz val="10"/>
        <rFont val="Noto Sans CJK SC"/>
        <family val="2"/>
      </rPr>
      <t xml:space="preserve">핫핏 급유 중 화재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연료 유출 감지</t>
    </r>
  </si>
  <si>
    <r>
      <rPr>
        <sz val="10"/>
        <rFont val="Noto Sans CJK SC"/>
        <family val="2"/>
      </rPr>
      <t xml:space="preserve">미구현 — 핫리퓨얼 비상</t>
    </r>
    <r>
      <rPr>
        <sz val="10"/>
        <rFont val="Malgun Gothic"/>
        <family val="0"/>
        <charset val="1"/>
      </rPr>
      <t xml:space="preserve">(E1-02</t>
    </r>
    <r>
      <rPr>
        <sz val="10"/>
        <rFont val="Noto Sans CJK SC"/>
        <family val="2"/>
      </rPr>
      <t xml:space="preserve">로 대체</t>
    </r>
    <r>
      <rPr>
        <sz val="10"/>
        <rFont val="Malgun Gothic"/>
        <family val="0"/>
        <charset val="1"/>
      </rPr>
      <t xml:space="preserve">)</t>
    </r>
  </si>
  <si>
    <t xml:space="preserve">3-32</t>
  </si>
  <si>
    <t xml:space="preserve">E1-16</t>
  </si>
  <si>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작동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하이드라진 누출</t>
    </r>
  </si>
  <si>
    <t xml:space="preserve">Activated EPU/Hydrazine Leak</t>
  </si>
  <si>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작동</t>
    </r>
    <r>
      <rPr>
        <sz val="10"/>
        <rFont val="Malgun Gothic"/>
        <family val="0"/>
        <charset val="1"/>
      </rPr>
      <t xml:space="preserve">(EPU RUN/HYDRAZN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후 착륙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하이드라진 누출 의심</t>
    </r>
  </si>
  <si>
    <r>
      <rPr>
        <sz val="10"/>
        <rFont val="Noto Sans CJK SC"/>
        <family val="2"/>
      </rPr>
      <t xml:space="preserve">미구현 — 착륙기지 하이드라진 통보</t>
    </r>
    <r>
      <rPr>
        <sz val="10"/>
        <rFont val="Malgun Gothic"/>
        <family val="0"/>
        <charset val="1"/>
      </rPr>
      <t xml:space="preserve">(EPU </t>
    </r>
    <r>
      <rPr>
        <sz val="10"/>
        <rFont val="Noto Sans CJK SC"/>
        <family val="2"/>
      </rPr>
      <t xml:space="preserve">작동 이력만 확인</t>
    </r>
    <r>
      <rPr>
        <sz val="10"/>
        <rFont val="Malgun Gothic"/>
        <family val="0"/>
        <charset val="1"/>
      </rPr>
      <t xml:space="preserve">)</t>
    </r>
  </si>
  <si>
    <t xml:space="preserve">E1-17</t>
  </si>
  <si>
    <r>
      <rPr>
        <sz val="10"/>
        <rFont val="Malgun Gothic"/>
        <family val="0"/>
        <charset val="1"/>
      </rPr>
      <t xml:space="preserve">NWS </t>
    </r>
    <r>
      <rPr>
        <sz val="10"/>
        <rFont val="Noto Sans CJK SC"/>
        <family val="2"/>
      </rPr>
      <t xml:space="preserve">고장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하드오버</t>
    </r>
  </si>
  <si>
    <t xml:space="preserve">NWS Failure/Hardover</t>
  </si>
  <si>
    <r>
      <rPr>
        <sz val="10"/>
        <rFont val="Malgun Gothic"/>
        <family val="0"/>
        <charset val="1"/>
      </rPr>
      <t xml:space="preserve">NWS FAIL </t>
    </r>
    <r>
      <rPr>
        <sz val="10"/>
        <rFont val="Noto Sans CJK SC"/>
        <family val="2"/>
      </rPr>
      <t xml:space="preserve">코션등 점등 또는 지령 없는 급격한 조향 입력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하드오버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</si>
  <si>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NWS </t>
    </r>
    <r>
      <rPr>
        <sz val="10"/>
        <rFont val="Noto Sans CJK SC"/>
        <family val="2"/>
      </rPr>
      <t xml:space="preserve">버튼으로 해제 → </t>
    </r>
    <r>
      <rPr>
        <sz val="10"/>
        <rFont val="Malgun Gothic"/>
        <family val="0"/>
        <charset val="1"/>
      </rPr>
      <t xml:space="preserve">AR/NWS </t>
    </r>
    <r>
      <rPr>
        <sz val="10"/>
        <rFont val="Noto Sans CJK SC"/>
        <family val="2"/>
      </rPr>
      <t xml:space="preserve">등 소등 확인 → 러더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차동제동으로 방향 유지 </t>
    </r>
    <r>
      <rPr>
        <sz val="10"/>
        <rFont val="Malgun Gothic"/>
        <family val="0"/>
        <charset val="1"/>
      </rPr>
      <t xml:space="preserve">(NWS FAIL </t>
    </r>
    <r>
      <rPr>
        <sz val="10"/>
        <rFont val="Noto Sans CJK SC"/>
        <family val="2"/>
      </rPr>
      <t xml:space="preserve">시 재체결 금지</t>
    </r>
    <r>
      <rPr>
        <sz val="10"/>
        <rFont val="Malgun Gothic"/>
        <family val="0"/>
        <charset val="1"/>
      </rPr>
      <t xml:space="preserve">)</t>
    </r>
  </si>
  <si>
    <t xml:space="preserve">3-32 ~ 3-33</t>
  </si>
  <si>
    <t xml:space="preserve">E1-18</t>
  </si>
  <si>
    <t xml:space="preserve">로테이션 지연</t>
  </si>
  <si>
    <t xml:space="preserve">Delayed Rotation</t>
  </si>
  <si>
    <t xml:space="preserve">계산 로테이션 속도에서 스틱을 당겨도 기수가 들리지 않을 때</t>
  </si>
  <si>
    <r>
      <rPr>
        <sz val="10"/>
        <rFont val="Noto Sans CJK SC"/>
        <family val="2"/>
      </rPr>
      <t xml:space="preserve">이륙속도 확인 → 지연 시 어보트 금지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계속 가속</t>
    </r>
    <r>
      <rPr>
        <sz val="10"/>
        <rFont val="Malgun Gothic"/>
        <family val="0"/>
        <charset val="1"/>
      </rPr>
      <t xml:space="preserve">(+25kt) → </t>
    </r>
    <r>
      <rPr>
        <sz val="10"/>
        <rFont val="Noto Sans CJK SC"/>
        <family val="2"/>
      </rPr>
      <t xml:space="preserve">부드럽게 로테이션</t>
    </r>
  </si>
  <si>
    <t xml:space="preserve">3-33</t>
  </si>
  <si>
    <t xml:space="preserve">E1-19</t>
  </si>
  <si>
    <r>
      <rPr>
        <sz val="10"/>
        <rFont val="Noto Sans CJK SC"/>
        <family val="2"/>
      </rPr>
      <t xml:space="preserve">이륙 포기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어보트</t>
    </r>
    <r>
      <rPr>
        <sz val="10"/>
        <rFont val="Malgun Gothic"/>
        <family val="0"/>
        <charset val="1"/>
      </rPr>
      <t xml:space="preserve">)</t>
    </r>
  </si>
  <si>
    <t xml:space="preserve">Abort</t>
  </si>
  <si>
    <r>
      <rPr>
        <sz val="10"/>
        <rFont val="Noto Sans CJK SC"/>
        <family val="2"/>
      </rPr>
      <t xml:space="preserve">이륙활주 중 엔진 이상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타이어 파열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방향조종 문제 등으로 이륙 계속이 불가하다고 결심한 시점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잔여 활주로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속도 고려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</si>
  <si>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Throttle IDLE → (</t>
    </r>
    <r>
      <rPr>
        <sz val="10"/>
        <rFont val="Noto Sans CJK SC"/>
        <family val="2"/>
      </rPr>
      <t xml:space="preserve">드래그슈트 없음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스틱 후방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스피드브레이크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최대 제동 → </t>
    </r>
    <r>
      <rPr>
        <sz val="10"/>
        <rFont val="Malgun Gothic"/>
        <family val="0"/>
        <charset val="1"/>
      </rPr>
      <t xml:space="preserve">NWS </t>
    </r>
    <r>
      <rPr>
        <sz val="10"/>
        <rFont val="Noto Sans CJK SC"/>
        <family val="2"/>
      </rPr>
      <t xml:space="preserve">필요 시 → </t>
    </r>
    <r>
      <rPr>
        <sz val="10"/>
        <rFont val="Malgun Gothic"/>
        <family val="0"/>
        <charset val="1"/>
      </rPr>
      <t xml:space="preserve">HOOK DN → (</t>
    </r>
    <r>
      <rPr>
        <sz val="10"/>
        <rFont val="Noto Sans CJK SC"/>
        <family val="2"/>
      </rPr>
      <t xml:space="preserve">화재</t>
    </r>
    <r>
      <rPr>
        <sz val="10"/>
        <rFont val="Malgun Gothic"/>
        <family val="0"/>
        <charset val="1"/>
      </rPr>
      <t xml:space="preserve">) Throttle OFF·FUEL MASTER OFF</t>
    </r>
  </si>
  <si>
    <t xml:space="preserve">3-33 ~ 3-34</t>
  </si>
  <si>
    <t xml:space="preserve">E1-20</t>
  </si>
  <si>
    <t xml:space="preserve">이륙 중 엔진 오작동</t>
  </si>
  <si>
    <t xml:space="preserve">Engine Malfunction on Takeoff</t>
  </si>
  <si>
    <r>
      <rPr>
        <sz val="10"/>
        <rFont val="Noto Sans CJK SC"/>
        <family val="2"/>
      </rPr>
      <t xml:space="preserve">이륙 중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직후 엔진 계기 이상</t>
    </r>
    <r>
      <rPr>
        <sz val="10"/>
        <rFont val="Malgun Gothic"/>
        <family val="0"/>
        <charset val="1"/>
      </rPr>
      <t xml:space="preserve">(RPM·FTIT·</t>
    </r>
    <r>
      <rPr>
        <sz val="10"/>
        <rFont val="Noto Sans CJK SC"/>
        <family val="2"/>
      </rPr>
      <t xml:space="preserve">노즐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오일압</t>
    </r>
    <r>
      <rPr>
        <sz val="10"/>
        <rFont val="Malgun Gothic"/>
        <family val="0"/>
        <charset val="1"/>
      </rPr>
      <t xml:space="preserve">), ENGINE/ENGINE FAULT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추력 저하 감지</t>
    </r>
  </si>
  <si>
    <r>
      <rPr>
        <sz val="10"/>
        <rFont val="Noto Sans CJK SC"/>
        <family val="2"/>
      </rPr>
      <t xml:space="preserve">직진 상승 → 엔진 계기 분석 → 필요 시 </t>
    </r>
    <r>
      <rPr>
        <sz val="10"/>
        <rFont val="Malgun Gothic"/>
        <family val="0"/>
        <charset val="1"/>
      </rPr>
      <t xml:space="preserve">EMER JETT → </t>
    </r>
    <r>
      <rPr>
        <sz val="10"/>
        <rFont val="Noto Sans CJK SC"/>
        <family val="2"/>
      </rPr>
      <t xml:space="preserve">완만한 선회만 → 세부 절차 분기</t>
    </r>
  </si>
  <si>
    <t xml:space="preserve">3-34</t>
  </si>
  <si>
    <t xml:space="preserve">E1-21</t>
  </si>
  <si>
    <t xml:space="preserve">이륙 중 엔진 정지</t>
  </si>
  <si>
    <t xml:space="preserve">Engine Failure on Takeoff</t>
  </si>
  <si>
    <r>
      <rPr>
        <sz val="10"/>
        <rFont val="Noto Sans CJK SC"/>
        <family val="2"/>
      </rPr>
      <t xml:space="preserve">이륙 직후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저고도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저속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엔진 정지</t>
    </r>
    <r>
      <rPr>
        <sz val="10"/>
        <rFont val="Malgun Gothic"/>
        <family val="0"/>
        <charset val="1"/>
      </rPr>
      <t xml:space="preserve">: RPM </t>
    </r>
    <r>
      <rPr>
        <sz val="10"/>
        <rFont val="Noto Sans CJK SC"/>
        <family val="2"/>
      </rPr>
      <t xml:space="preserve">급감</t>
    </r>
    <r>
      <rPr>
        <sz val="10"/>
        <rFont val="Malgun Gothic"/>
        <family val="0"/>
        <charset val="1"/>
      </rPr>
      <t xml:space="preserve">, ENGINE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추력 상실</t>
    </r>
  </si>
  <si>
    <r>
      <rPr>
        <sz val="10"/>
        <rFont val="Noto Sans CJK SC"/>
        <family val="2"/>
      </rPr>
      <t xml:space="preserve">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속도→고도</t>
    </r>
    <r>
      <rPr>
        <sz val="10"/>
        <rFont val="Malgun Gothic"/>
        <family val="0"/>
        <charset val="1"/>
      </rPr>
      <t xml:space="preserve">) → EMER JETT </t>
    </r>
    <r>
      <rPr>
        <sz val="10"/>
        <rFont val="Noto Sans CJK SC"/>
        <family val="2"/>
      </rPr>
      <t xml:space="preserve">버튼 → 사출</t>
    </r>
    <r>
      <rPr>
        <sz val="10"/>
        <rFont val="Malgun Gothic"/>
        <family val="0"/>
        <charset val="1"/>
      </rPr>
      <t xml:space="preserve">(LCTRL+E ×3)</t>
    </r>
  </si>
  <si>
    <t xml:space="preserve">E1-22</t>
  </si>
  <si>
    <r>
      <rPr>
        <sz val="10"/>
        <rFont val="Noto Sans CJK SC"/>
        <family val="2"/>
      </rPr>
      <t xml:space="preserve">이륙 중 애프터버너</t>
    </r>
    <r>
      <rPr>
        <sz val="10"/>
        <rFont val="Malgun Gothic"/>
        <family val="0"/>
        <charset val="1"/>
      </rPr>
      <t xml:space="preserve">(AB) </t>
    </r>
    <r>
      <rPr>
        <sz val="10"/>
        <rFont val="Noto Sans CJK SC"/>
        <family val="2"/>
      </rPr>
      <t xml:space="preserve">오작동</t>
    </r>
  </si>
  <si>
    <t xml:space="preserve">AB Malfunction on Takeoff</t>
  </si>
  <si>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선택 후 노즐 폐쇄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추력 손실</t>
    </r>
    <r>
      <rPr>
        <sz val="10"/>
        <rFont val="Malgun Gothic"/>
        <family val="0"/>
        <charset val="1"/>
      </rPr>
      <t xml:space="preserve">, AB </t>
    </r>
    <r>
      <rPr>
        <sz val="10"/>
        <rFont val="Noto Sans CJK SC"/>
        <family val="2"/>
      </rPr>
      <t xml:space="preserve">미점화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팝 소음 동반 스톨</t>
    </r>
  </si>
  <si>
    <r>
      <rPr>
        <sz val="10"/>
        <rFont val="Noto Sans CJK SC"/>
        <family val="2"/>
      </rPr>
      <t xml:space="preserve">어보트</t>
    </r>
    <r>
      <rPr>
        <sz val="10"/>
        <rFont val="Malgun Gothic"/>
        <family val="0"/>
        <charset val="1"/>
      </rPr>
      <t xml:space="preserve">(E1-19)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Throttle MIL → </t>
    </r>
    <r>
      <rPr>
        <sz val="10"/>
        <rFont val="Noto Sans CJK SC"/>
        <family val="2"/>
      </rPr>
      <t xml:space="preserve">필요 시 </t>
    </r>
    <r>
      <rPr>
        <sz val="10"/>
        <rFont val="Malgun Gothic"/>
        <family val="0"/>
        <charset val="1"/>
      </rPr>
      <t xml:space="preserve">EMER JETT → MIL </t>
    </r>
    <r>
      <rPr>
        <sz val="10"/>
        <rFont val="Noto Sans CJK SC"/>
        <family val="2"/>
      </rPr>
      <t xml:space="preserve">추력 부족 시 </t>
    </r>
    <r>
      <rPr>
        <sz val="10"/>
        <rFont val="Malgun Gothic"/>
        <family val="0"/>
        <charset val="1"/>
      </rPr>
      <t xml:space="preserve">E1-24</t>
    </r>
  </si>
  <si>
    <t xml:space="preserve">3-35</t>
  </si>
  <si>
    <t xml:space="preserve">E1-23</t>
  </si>
  <si>
    <r>
      <rPr>
        <sz val="10"/>
        <rFont val="Noto Sans CJK SC"/>
        <family val="2"/>
      </rPr>
      <t xml:space="preserve">이륙 또는 저고도에서 추력저하</t>
    </r>
    <r>
      <rPr>
        <sz val="10"/>
        <rFont val="Malgun Gothic"/>
        <family val="0"/>
        <charset val="1"/>
      </rPr>
      <t xml:space="preserve">(NonAB) — PW229</t>
    </r>
  </si>
  <si>
    <t xml:space="preserve">Low Thrust on Takeoff or at Low Altitude (NonAB) PW 229</t>
  </si>
  <si>
    <r>
      <rPr>
        <sz val="10"/>
        <rFont val="Noto Sans CJK SC"/>
        <family val="2"/>
      </rPr>
      <t xml:space="preserve">이륙 또는 </t>
    </r>
    <r>
      <rPr>
        <sz val="10"/>
        <rFont val="Malgun Gothic"/>
        <family val="0"/>
        <charset val="1"/>
      </rPr>
      <t xml:space="preserve">10,000ft AGL </t>
    </r>
    <r>
      <rPr>
        <sz val="10"/>
        <rFont val="Noto Sans CJK SC"/>
        <family val="2"/>
      </rPr>
      <t xml:space="preserve">이하에서 </t>
    </r>
    <r>
      <rPr>
        <sz val="10"/>
        <rFont val="Malgun Gothic"/>
        <family val="0"/>
        <charset val="1"/>
      </rPr>
      <t xml:space="preserve">NonAB </t>
    </r>
    <r>
      <rPr>
        <sz val="10"/>
        <rFont val="Noto Sans CJK SC"/>
        <family val="2"/>
      </rPr>
      <t xml:space="preserve">추력 저하</t>
    </r>
  </si>
  <si>
    <r>
      <rPr>
        <sz val="10"/>
        <rFont val="Malgun Gothic"/>
        <family val="0"/>
        <charset val="1"/>
      </rPr>
      <t xml:space="preserve">PW229 — </t>
    </r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(E1-24 </t>
    </r>
    <r>
      <rPr>
        <sz val="10"/>
        <rFont val="Noto Sans CJK SC"/>
        <family val="2"/>
      </rPr>
      <t xml:space="preserve">참조</t>
    </r>
    <r>
      <rPr>
        <sz val="10"/>
        <rFont val="Malgun Gothic"/>
        <family val="0"/>
        <charset val="1"/>
      </rPr>
      <t xml:space="preserve">)</t>
    </r>
  </si>
  <si>
    <t xml:space="preserve">3-35 ~ 3-36</t>
  </si>
  <si>
    <t xml:space="preserve">E1-24</t>
  </si>
  <si>
    <r>
      <rPr>
        <sz val="10"/>
        <rFont val="Noto Sans CJK SC"/>
        <family val="2"/>
      </rPr>
      <t xml:space="preserve">이륙 또는 저고도에서 추력저하</t>
    </r>
    <r>
      <rPr>
        <sz val="10"/>
        <rFont val="Malgun Gothic"/>
        <family val="0"/>
        <charset val="1"/>
      </rPr>
      <t xml:space="preserve">(NonAB) — GE129</t>
    </r>
  </si>
  <si>
    <t xml:space="preserve">Low Thrust on Takeoff or at Low Altitude (NonAB) GE 129</t>
  </si>
  <si>
    <r>
      <rPr>
        <sz val="10"/>
        <rFont val="Noto Sans CJK SC"/>
        <family val="2"/>
      </rPr>
      <t xml:space="preserve">이륙 중 또는 </t>
    </r>
    <r>
      <rPr>
        <sz val="10"/>
        <rFont val="Malgun Gothic"/>
        <family val="0"/>
        <charset val="1"/>
      </rPr>
      <t xml:space="preserve">10,000ft AGL </t>
    </r>
    <r>
      <rPr>
        <sz val="10"/>
        <rFont val="Noto Sans CJK SC"/>
        <family val="2"/>
      </rPr>
      <t xml:space="preserve">이하에서 </t>
    </r>
    <r>
      <rPr>
        <sz val="10"/>
        <rFont val="Malgun Gothic"/>
        <family val="0"/>
        <charset val="1"/>
      </rPr>
      <t xml:space="preserve">MIL </t>
    </r>
    <r>
      <rPr>
        <sz val="10"/>
        <rFont val="Noto Sans CJK SC"/>
        <family val="2"/>
      </rPr>
      <t xml:space="preserve">추력 부족</t>
    </r>
    <r>
      <rPr>
        <sz val="10"/>
        <rFont val="Malgun Gothic"/>
        <family val="0"/>
        <charset val="1"/>
      </rPr>
      <t xml:space="preserve">(RPM </t>
    </r>
    <r>
      <rPr>
        <sz val="10"/>
        <rFont val="Noto Sans CJK SC"/>
        <family val="2"/>
      </rPr>
      <t xml:space="preserve">롤백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노즐 열림고착</t>
    </r>
    <r>
      <rPr>
        <sz val="10"/>
        <rFont val="Malgun Gothic"/>
        <family val="0"/>
        <charset val="1"/>
      </rPr>
      <t xml:space="preserve">, ENGINE FAULT/SEC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</si>
  <si>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어보트 또는 </t>
    </r>
    <r>
      <rPr>
        <sz val="10"/>
        <rFont val="Malgun Gothic"/>
        <family val="0"/>
        <charset val="1"/>
      </rPr>
      <t xml:space="preserve">Throttle AB → </t>
    </r>
    <r>
      <rPr>
        <sz val="10"/>
        <rFont val="Noto Sans CJK SC"/>
        <family val="2"/>
      </rPr>
      <t xml:space="preserve">부족 시 </t>
    </r>
    <r>
      <rPr>
        <sz val="10"/>
        <rFont val="Malgun Gothic"/>
        <family val="0"/>
        <charset val="1"/>
      </rPr>
      <t xml:space="preserve">ENG CONT SEC → </t>
    </r>
    <r>
      <rPr>
        <sz val="10"/>
        <rFont val="Noto Sans CJK SC"/>
        <family val="2"/>
      </rPr>
      <t xml:space="preserve">필요 시 </t>
    </r>
    <r>
      <rPr>
        <sz val="10"/>
        <rFont val="Malgun Gothic"/>
        <family val="0"/>
        <charset val="1"/>
      </rPr>
      <t xml:space="preserve">EMER JETT → 250kt </t>
    </r>
    <r>
      <rPr>
        <sz val="10"/>
        <rFont val="Noto Sans CJK SC"/>
        <family val="2"/>
      </rPr>
      <t xml:space="preserve">유지</t>
    </r>
    <r>
      <rPr>
        <sz val="10"/>
        <rFont val="Malgun Gothic"/>
        <family val="0"/>
        <charset val="1"/>
      </rPr>
      <t xml:space="preserve">·Land ASAP</t>
    </r>
  </si>
  <si>
    <t xml:space="preserve">3-36</t>
  </si>
  <si>
    <t xml:space="preserve">E1-25</t>
  </si>
  <si>
    <t xml:space="preserve">이륙 중 엔진 화재</t>
  </si>
  <si>
    <t xml:space="preserve">Engine Fire on Takeoff</t>
  </si>
  <si>
    <r>
      <rPr>
        <sz val="10"/>
        <rFont val="Noto Sans CJK SC"/>
        <family val="2"/>
      </rPr>
      <t xml:space="preserve">이륙 중 </t>
    </r>
    <r>
      <rPr>
        <sz val="10"/>
        <rFont val="Malgun Gothic"/>
        <family val="0"/>
        <charset val="1"/>
      </rPr>
      <t xml:space="preserve">ENG FIRE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, OVERHEAT </t>
    </r>
    <r>
      <rPr>
        <sz val="10"/>
        <rFont val="Noto Sans CJK SC"/>
        <family val="2"/>
      </rPr>
      <t xml:space="preserve">코션</t>
    </r>
    <r>
      <rPr>
        <sz val="10"/>
        <rFont val="Malgun Gothic"/>
        <family val="0"/>
        <charset val="1"/>
      </rPr>
      <t xml:space="preserve">, FTIT </t>
    </r>
    <r>
      <rPr>
        <sz val="10"/>
        <rFont val="Noto Sans CJK SC"/>
        <family val="2"/>
      </rPr>
      <t xml:space="preserve">급상승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연기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매연 관측</t>
    </r>
  </si>
  <si>
    <r>
      <rPr>
        <sz val="10"/>
        <rFont val="Malgun Gothic"/>
        <family val="0"/>
        <charset val="1"/>
      </rPr>
      <t xml:space="preserve">ENG FIRE/OVERHEAT/FTIT </t>
    </r>
    <r>
      <rPr>
        <sz val="10"/>
        <rFont val="Noto Sans CJK SC"/>
        <family val="2"/>
      </rPr>
      <t xml:space="preserve">확인 → 지상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어보트</t>
    </r>
    <r>
      <rPr>
        <sz val="10"/>
        <rFont val="Malgun Gothic"/>
        <family val="0"/>
        <charset val="1"/>
      </rPr>
      <t xml:space="preserve">·Throttle OFF·FUEL MASTER OFF / </t>
    </r>
    <r>
      <rPr>
        <sz val="10"/>
        <rFont val="Noto Sans CJK SC"/>
        <family val="2"/>
      </rPr>
      <t xml:space="preserve">공중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상승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추력 최소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투기</t>
    </r>
    <r>
      <rPr>
        <sz val="10"/>
        <rFont val="Malgun Gothic"/>
        <family val="0"/>
        <charset val="1"/>
      </rPr>
      <t xml:space="preserve">·(</t>
    </r>
    <r>
      <rPr>
        <sz val="10"/>
        <rFont val="Noto Sans CJK SC"/>
        <family val="2"/>
      </rPr>
      <t xml:space="preserve">지속 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사출</t>
    </r>
  </si>
  <si>
    <t xml:space="preserve">E1-26</t>
  </si>
  <si>
    <t xml:space="preserve">착륙장치 미수납</t>
  </si>
  <si>
    <t xml:space="preserve">LG Fails To Retract</t>
  </si>
  <si>
    <r>
      <rPr>
        <sz val="10"/>
        <rFont val="Noto Sans CJK SC"/>
        <family val="2"/>
      </rPr>
      <t xml:space="preserve">이륙 후 </t>
    </r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</t>
    </r>
    <r>
      <rPr>
        <sz val="10"/>
        <rFont val="Malgun Gothic"/>
        <family val="0"/>
        <charset val="1"/>
      </rPr>
      <t xml:space="preserve">UP </t>
    </r>
    <r>
      <rPr>
        <sz val="10"/>
        <rFont val="Noto Sans CJK SC"/>
        <family val="2"/>
      </rPr>
      <t xml:space="preserve">후에도 </t>
    </r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적색 경고등 계속 점등</t>
    </r>
  </si>
  <si>
    <r>
      <rPr>
        <sz val="10"/>
        <rFont val="Malgun Gothic"/>
        <family val="0"/>
        <charset val="1"/>
      </rPr>
      <t xml:space="preserve">≤300kt → LG </t>
    </r>
    <r>
      <rPr>
        <sz val="10"/>
        <rFont val="Noto Sans CJK SC"/>
        <family val="2"/>
      </rPr>
      <t xml:space="preserve">핸들 </t>
    </r>
    <r>
      <rPr>
        <sz val="10"/>
        <rFont val="Malgun Gothic"/>
        <family val="0"/>
        <charset val="1"/>
      </rPr>
      <t xml:space="preserve">DN(DN LOCK REL) → </t>
    </r>
    <r>
      <rPr>
        <sz val="10"/>
        <rFont val="Noto Sans CJK SC"/>
        <family val="2"/>
      </rPr>
      <t xml:space="preserve">녹색등 확인 → </t>
    </r>
    <r>
      <rPr>
        <sz val="10"/>
        <rFont val="Malgun Gothic"/>
        <family val="0"/>
        <charset val="1"/>
      </rPr>
      <t xml:space="preserve">GW </t>
    </r>
    <r>
      <rPr>
        <sz val="10"/>
        <rFont val="Noto Sans CJK SC"/>
        <family val="2"/>
      </rPr>
      <t xml:space="preserve">경감 → 미전개 시 </t>
    </r>
    <r>
      <rPr>
        <sz val="10"/>
        <rFont val="Malgun Gothic"/>
        <family val="0"/>
        <charset val="1"/>
      </rPr>
      <t xml:space="preserve">ALT GEAR </t>
    </r>
    <r>
      <rPr>
        <sz val="10"/>
        <rFont val="Noto Sans CJK SC"/>
        <family val="2"/>
      </rPr>
      <t xml:space="preserve">레버</t>
    </r>
  </si>
  <si>
    <t xml:space="preserve">3-36 ~ 3-37</t>
  </si>
  <si>
    <t xml:space="preserve">E1-27</t>
  </si>
  <si>
    <t xml:space="preserve">착륙장치 핸들이 올라가지 않음</t>
  </si>
  <si>
    <t xml:space="preserve">LG Handle Will Not Raise</t>
  </si>
  <si>
    <r>
      <rPr>
        <sz val="10"/>
        <rFont val="Noto Sans CJK SC"/>
        <family val="2"/>
      </rPr>
      <t xml:space="preserve">이륙 후 </t>
    </r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핸들이 </t>
    </r>
    <r>
      <rPr>
        <sz val="10"/>
        <rFont val="Malgun Gothic"/>
        <family val="0"/>
        <charset val="1"/>
      </rPr>
      <t xml:space="preserve">DN </t>
    </r>
    <r>
      <rPr>
        <sz val="10"/>
        <rFont val="Noto Sans CJK SC"/>
        <family val="2"/>
      </rPr>
      <t xml:space="preserve">위치에서 빠지지 않음</t>
    </r>
    <r>
      <rPr>
        <sz val="10"/>
        <rFont val="Malgun Gothic"/>
        <family val="0"/>
        <charset val="1"/>
      </rPr>
      <t xml:space="preserve">(TO/LDG CONFIG </t>
    </r>
    <r>
      <rPr>
        <sz val="10"/>
        <rFont val="Noto Sans CJK SC"/>
        <family val="2"/>
      </rPr>
      <t xml:space="preserve">경고 동반 가능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</si>
  <si>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≤300kt → GW </t>
    </r>
    <r>
      <rPr>
        <sz val="10"/>
        <rFont val="Noto Sans CJK SC"/>
        <family val="2"/>
      </rPr>
      <t xml:space="preserve">경감 → </t>
    </r>
    <r>
      <rPr>
        <sz val="10"/>
        <rFont val="Malgun Gothic"/>
        <family val="0"/>
        <charset val="1"/>
      </rPr>
      <t xml:space="preserve">DN LOCK REL </t>
    </r>
    <r>
      <rPr>
        <sz val="10"/>
        <rFont val="Noto Sans CJK SC"/>
        <family val="2"/>
      </rPr>
      <t xml:space="preserve">누르고 핸들 </t>
    </r>
    <r>
      <rPr>
        <sz val="10"/>
        <rFont val="Malgun Gothic"/>
        <family val="0"/>
        <charset val="1"/>
      </rPr>
      <t xml:space="preserve">UP → </t>
    </r>
    <r>
      <rPr>
        <sz val="10"/>
        <rFont val="Noto Sans CJK SC"/>
        <family val="2"/>
      </rPr>
      <t xml:space="preserve">착륙 시 핸들 </t>
    </r>
    <r>
      <rPr>
        <sz val="10"/>
        <rFont val="Malgun Gothic"/>
        <family val="0"/>
        <charset val="1"/>
      </rPr>
      <t xml:space="preserve">DN → </t>
    </r>
    <r>
      <rPr>
        <sz val="10"/>
        <rFont val="Noto Sans CJK SC"/>
        <family val="2"/>
      </rPr>
      <t xml:space="preserve">스핀업 후 제동</t>
    </r>
  </si>
  <si>
    <t xml:space="preserve">3-37</t>
  </si>
  <si>
    <t xml:space="preserve">E1-28</t>
  </si>
  <si>
    <t xml:space="preserve">이륙 중 타이어 파열</t>
  </si>
  <si>
    <t xml:space="preserve">Blown Tire on Takeoff</t>
  </si>
  <si>
    <r>
      <rPr>
        <sz val="10"/>
        <rFont val="Noto Sans CJK SC"/>
        <family val="2"/>
      </rPr>
      <t xml:space="preserve">이륙활주 중 폭발음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진동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감속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편향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파편 비산 등 타이어 파열 징후</t>
    </r>
  </si>
  <si>
    <r>
      <rPr>
        <sz val="10"/>
        <rFont val="Noto Sans CJK SC"/>
        <family val="2"/>
      </rPr>
      <t xml:space="preserve">어보트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계속 결심 → </t>
    </r>
    <r>
      <rPr>
        <sz val="10"/>
        <rFont val="Malgun Gothic"/>
        <family val="0"/>
        <charset val="1"/>
      </rPr>
      <t xml:space="preserve">NLG: </t>
    </r>
    <r>
      <rPr>
        <sz val="10"/>
        <rFont val="Noto Sans CJK SC"/>
        <family val="2"/>
      </rPr>
      <t xml:space="preserve">노즈 들어 공력제동→</t>
    </r>
    <r>
      <rPr>
        <sz val="10"/>
        <rFont val="Malgun Gothic"/>
        <family val="0"/>
        <charset val="1"/>
      </rPr>
      <t xml:space="preserve">NWS / MLG: </t>
    </r>
    <r>
      <rPr>
        <sz val="10"/>
        <rFont val="Noto Sans CJK SC"/>
        <family val="2"/>
      </rPr>
      <t xml:space="preserve">안티스키드 유지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롤로 하중 경감</t>
    </r>
    <r>
      <rPr>
        <sz val="10"/>
        <rFont val="Malgun Gothic"/>
        <family val="0"/>
        <charset val="1"/>
      </rPr>
      <t xml:space="preserve">·NWS → </t>
    </r>
    <r>
      <rPr>
        <sz val="10"/>
        <rFont val="Noto Sans CJK SC"/>
        <family val="2"/>
      </rPr>
      <t xml:space="preserve">케이블 전 정지</t>
    </r>
  </si>
  <si>
    <t xml:space="preserve">E1-29</t>
  </si>
  <si>
    <r>
      <rPr>
        <sz val="10"/>
        <rFont val="Malgun Gothic"/>
        <family val="0"/>
        <charset val="1"/>
      </rPr>
      <t xml:space="preserve">CANOPY </t>
    </r>
    <r>
      <rPr>
        <sz val="10"/>
        <rFont val="Noto Sans CJK SC"/>
        <family val="2"/>
      </rPr>
      <t xml:space="preserve">경고등 점등</t>
    </r>
  </si>
  <si>
    <t xml:space="preserve">CANOPY Warning Light On</t>
  </si>
  <si>
    <r>
      <rPr>
        <sz val="10"/>
        <rFont val="Noto Sans CJK SC"/>
        <family val="2"/>
      </rPr>
      <t xml:space="preserve">비행 중 </t>
    </r>
    <r>
      <rPr>
        <sz val="10"/>
        <rFont val="Malgun Gothic"/>
        <family val="0"/>
        <charset val="1"/>
      </rPr>
      <t xml:space="preserve">CANOPY </t>
    </r>
    <r>
      <rPr>
        <sz val="10"/>
        <rFont val="Noto Sans CJK SC"/>
        <family val="2"/>
      </rPr>
      <t xml:space="preserve">경고등 점등</t>
    </r>
  </si>
  <si>
    <r>
      <rPr>
        <sz val="10"/>
        <rFont val="Noto Sans CJK SC"/>
        <family val="2"/>
      </rPr>
      <t xml:space="preserve">캐노피 스위치 </t>
    </r>
    <r>
      <rPr>
        <sz val="10"/>
        <rFont val="Malgun Gothic"/>
        <family val="0"/>
        <charset val="1"/>
      </rPr>
      <t xml:space="preserve">DOWN·</t>
    </r>
    <r>
      <rPr>
        <sz val="10"/>
        <rFont val="Noto Sans CJK SC"/>
        <family val="2"/>
      </rPr>
      <t xml:space="preserve">가드 닫힘 확인 → </t>
    </r>
    <r>
      <rPr>
        <sz val="10"/>
        <rFont val="Malgun Gothic"/>
        <family val="0"/>
        <charset val="1"/>
      </rPr>
      <t xml:space="preserve">CANOPY </t>
    </r>
    <r>
      <rPr>
        <sz val="10"/>
        <rFont val="Noto Sans CJK SC"/>
        <family val="2"/>
      </rPr>
      <t xml:space="preserve">등 소등 확인 → 지속 시 </t>
    </r>
    <r>
      <rPr>
        <sz val="10"/>
        <rFont val="Malgun Gothic"/>
        <family val="0"/>
        <charset val="1"/>
      </rPr>
      <t xml:space="preserve">E1-30</t>
    </r>
  </si>
  <si>
    <t xml:space="preserve">3-38</t>
  </si>
  <si>
    <t xml:space="preserve">E1-30</t>
  </si>
  <si>
    <r>
      <rPr>
        <sz val="10"/>
        <rFont val="Noto Sans CJK SC"/>
        <family val="2"/>
      </rPr>
      <t xml:space="preserve">비행 중 캐노피 상실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관통</t>
    </r>
  </si>
  <si>
    <t xml:space="preserve">Canopy Loss/Penetration in Flight</t>
  </si>
  <si>
    <r>
      <rPr>
        <sz val="10"/>
        <rFont val="Noto Sans CJK SC"/>
        <family val="2"/>
      </rPr>
      <t xml:space="preserve">캐노피 상실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파손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조류충돌로 인한 관통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급격한 바람충격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소음</t>
    </r>
  </si>
  <si>
    <r>
      <rPr>
        <sz val="10"/>
        <rFont val="Noto Sans CJK SC"/>
        <family val="2"/>
      </rPr>
      <t xml:space="preserve">감속</t>
    </r>
    <r>
      <rPr>
        <sz val="10"/>
        <rFont val="Malgun Gothic"/>
        <family val="0"/>
        <charset val="1"/>
      </rPr>
      <t xml:space="preserve">(≤180kt) → </t>
    </r>
    <r>
      <rPr>
        <sz val="10"/>
        <rFont val="Noto Sans CJK SC"/>
        <family val="2"/>
      </rPr>
      <t xml:space="preserve">산소 </t>
    </r>
    <r>
      <rPr>
        <sz val="10"/>
        <rFont val="Malgun Gothic"/>
        <family val="0"/>
        <charset val="1"/>
      </rPr>
      <t xml:space="preserve">100% → </t>
    </r>
    <r>
      <rPr>
        <sz val="10"/>
        <rFont val="Noto Sans CJK SC"/>
        <family val="2"/>
      </rPr>
      <t xml:space="preserve">조종성 점검 → 불가 시 사출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가능 시 저속 </t>
    </r>
    <r>
      <rPr>
        <sz val="10"/>
        <rFont val="Malgun Gothic"/>
        <family val="0"/>
        <charset val="1"/>
      </rPr>
      <t xml:space="preserve">Land ASAP</t>
    </r>
  </si>
  <si>
    <t xml:space="preserve">E1-31</t>
  </si>
  <si>
    <t xml:space="preserve">비행 중 드래그슈트 전개</t>
  </si>
  <si>
    <t xml:space="preserve">Drag Chute Deployed in Flight</t>
  </si>
  <si>
    <r>
      <rPr>
        <sz val="10"/>
        <rFont val="Noto Sans CJK SC"/>
        <family val="2"/>
      </rPr>
      <t xml:space="preserve">비행 중 </t>
    </r>
    <r>
      <rPr>
        <sz val="10"/>
        <rFont val="Malgun Gothic"/>
        <family val="0"/>
        <charset val="1"/>
      </rPr>
      <t xml:space="preserve">190kt </t>
    </r>
    <r>
      <rPr>
        <sz val="10"/>
        <rFont val="Noto Sans CJK SC"/>
        <family val="2"/>
      </rPr>
      <t xml:space="preserve">미만에서 드래그슈트 우발 전개</t>
    </r>
  </si>
  <si>
    <t xml:space="preserve">미구현 — 드래그슈트</t>
  </si>
  <si>
    <t xml:space="preserve">3-38 ~ 3-39</t>
  </si>
  <si>
    <t xml:space="preserve">E1-32</t>
  </si>
  <si>
    <r>
      <rPr>
        <sz val="10"/>
        <rFont val="Noto Sans CJK SC"/>
        <family val="2"/>
      </rPr>
      <t xml:space="preserve">콕핏 압력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온도 오작동</t>
    </r>
  </si>
  <si>
    <t xml:space="preserve">Cockpit Pressure/Temperature Malfunction</t>
  </si>
  <si>
    <r>
      <rPr>
        <sz val="10"/>
        <rFont val="Malgun Gothic"/>
        <family val="0"/>
        <charset val="1"/>
      </rPr>
      <t xml:space="preserve">CABIN PRESS </t>
    </r>
    <r>
      <rPr>
        <sz val="10"/>
        <rFont val="Noto Sans CJK SC"/>
        <family val="2"/>
      </rPr>
      <t xml:space="preserve">코션 점등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캐빈고도 급상승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콕핏 소음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공기흐름 상실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과도한 온도</t>
    </r>
  </si>
  <si>
    <r>
      <rPr>
        <sz val="10"/>
        <rFont val="Malgun Gothic"/>
        <family val="0"/>
        <charset val="1"/>
      </rPr>
      <t xml:space="preserve">OXY 100% → ≤25,000ft·≤500kt → AIR SOURCE OFF 10~15s→NORM → </t>
    </r>
    <r>
      <rPr>
        <sz val="10"/>
        <rFont val="Noto Sans CJK SC"/>
        <family val="2"/>
      </rPr>
      <t xml:space="preserve">미회복 시 </t>
    </r>
    <r>
      <rPr>
        <sz val="10"/>
        <rFont val="Malgun Gothic"/>
        <family val="0"/>
        <charset val="1"/>
      </rPr>
      <t xml:space="preserve">OFF→RAM → </t>
    </r>
    <r>
      <rPr>
        <sz val="10"/>
        <rFont val="Noto Sans CJK SC"/>
        <family val="2"/>
      </rPr>
      <t xml:space="preserve">비필수 전기 </t>
    </r>
    <r>
      <rPr>
        <sz val="10"/>
        <rFont val="Malgun Gothic"/>
        <family val="0"/>
        <charset val="1"/>
      </rPr>
      <t xml:space="preserve">OFF → Land practical</t>
    </r>
  </si>
  <si>
    <t xml:space="preserve">3-39 ~ 3-40</t>
  </si>
  <si>
    <t xml:space="preserve">E1-33</t>
  </si>
  <si>
    <r>
      <rPr>
        <sz val="10"/>
        <rFont val="Malgun Gothic"/>
        <family val="0"/>
        <charset val="1"/>
      </rPr>
      <t xml:space="preserve">EQUIP HOT </t>
    </r>
    <r>
      <rPr>
        <sz val="10"/>
        <rFont val="Noto Sans CJK SC"/>
        <family val="2"/>
      </rPr>
      <t xml:space="preserve">코션등</t>
    </r>
  </si>
  <si>
    <t xml:space="preserve">EQUIP HOT Caution Light</t>
  </si>
  <si>
    <r>
      <rPr>
        <sz val="10"/>
        <rFont val="Malgun Gothic"/>
        <family val="0"/>
        <charset val="1"/>
      </rPr>
      <t xml:space="preserve">EQUIP HOT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저고도 </t>
    </r>
    <r>
      <rPr>
        <sz val="10"/>
        <rFont val="Malgun Gothic"/>
        <family val="0"/>
        <charset val="1"/>
      </rPr>
      <t xml:space="preserve">LG DN </t>
    </r>
    <r>
      <rPr>
        <sz val="10"/>
        <rFont val="Noto Sans CJK SC"/>
        <family val="2"/>
      </rPr>
      <t xml:space="preserve">장시간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고고도 저속 등에서 최대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분은 정상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</si>
  <si>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AIR SOURCE NORM → RPM ≥80% → 1</t>
    </r>
    <r>
      <rPr>
        <sz val="10"/>
        <rFont val="Noto Sans CJK SC"/>
        <family val="2"/>
      </rPr>
      <t xml:space="preserve">분 지속 시 비필수 항전 </t>
    </r>
    <r>
      <rPr>
        <sz val="10"/>
        <rFont val="Malgun Gothic"/>
        <family val="0"/>
        <charset val="1"/>
      </rPr>
      <t xml:space="preserve">OFF</t>
    </r>
  </si>
  <si>
    <t xml:space="preserve">3-40</t>
  </si>
  <si>
    <t xml:space="preserve">E1-34</t>
  </si>
  <si>
    <r>
      <rPr>
        <sz val="10"/>
        <rFont val="Noto Sans CJK SC"/>
        <family val="2"/>
      </rPr>
      <t xml:space="preserve">사출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즉시</t>
    </r>
    <r>
      <rPr>
        <sz val="10"/>
        <rFont val="Malgun Gothic"/>
        <family val="0"/>
        <charset val="1"/>
      </rPr>
      <t xml:space="preserve">)</t>
    </r>
  </si>
  <si>
    <t xml:space="preserve">Ejection (Immediate)</t>
  </si>
  <si>
    <r>
      <rPr>
        <sz val="10"/>
        <rFont val="Noto Sans CJK SC"/>
        <family val="2"/>
      </rPr>
      <t xml:space="preserve">조종 불능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통제된 비행 시 </t>
    </r>
    <r>
      <rPr>
        <sz val="10"/>
        <rFont val="Malgun Gothic"/>
        <family val="0"/>
        <charset val="1"/>
      </rPr>
      <t xml:space="preserve">2,000ft AGL(</t>
    </r>
    <r>
      <rPr>
        <sz val="10"/>
        <rFont val="Noto Sans CJK SC"/>
        <family val="2"/>
      </rPr>
      <t xml:space="preserve">스핀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딥스톨 </t>
    </r>
    <r>
      <rPr>
        <sz val="10"/>
        <rFont val="Malgun Gothic"/>
        <family val="0"/>
        <charset val="1"/>
      </rPr>
      <t xml:space="preserve">6,000ft AGL) </t>
    </r>
    <r>
      <rPr>
        <sz val="10"/>
        <rFont val="Noto Sans CJK SC"/>
        <family val="2"/>
      </rPr>
      <t xml:space="preserve">이하 도달 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화재 지속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엔진 정지 후 재시동 불가 등 즉시 사출 결심</t>
    </r>
  </si>
  <si>
    <r>
      <rPr>
        <sz val="10"/>
        <rFont val="Noto Sans CJK SC"/>
        <family val="2"/>
      </rPr>
      <t xml:space="preserve">좌석 </t>
    </r>
    <r>
      <rPr>
        <sz val="10"/>
        <rFont val="Malgun Gothic"/>
        <family val="0"/>
        <charset val="1"/>
      </rPr>
      <t xml:space="preserve">ARMED </t>
    </r>
    <r>
      <rPr>
        <sz val="10"/>
        <rFont val="Noto Sans CJK SC"/>
        <family val="2"/>
      </rPr>
      <t xml:space="preserve">확인 → 감속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수평 → </t>
    </r>
    <r>
      <rPr>
        <sz val="10"/>
        <rFont val="Malgun Gothic"/>
        <family val="0"/>
        <charset val="1"/>
      </rPr>
      <t xml:space="preserve">LCTRL+E ×3 (Ejection Grip)</t>
    </r>
  </si>
  <si>
    <t xml:space="preserve">3-41</t>
  </si>
  <si>
    <t xml:space="preserve">E1-35</t>
  </si>
  <si>
    <r>
      <rPr>
        <sz val="10"/>
        <rFont val="Noto Sans CJK SC"/>
        <family val="2"/>
      </rPr>
      <t xml:space="preserve">사출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시간 여유 있음</t>
    </r>
    <r>
      <rPr>
        <sz val="10"/>
        <rFont val="Malgun Gothic"/>
        <family val="0"/>
        <charset val="1"/>
      </rPr>
      <t xml:space="preserve">)</t>
    </r>
  </si>
  <si>
    <t xml:space="preserve">Ejection (Time Permitting)</t>
  </si>
  <si>
    <r>
      <rPr>
        <sz val="10"/>
        <rFont val="Noto Sans CJK SC"/>
        <family val="2"/>
      </rPr>
      <t xml:space="preserve">회복 불가 판단 후 사출까지 시간 여유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고도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조종성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가 있을 때</t>
    </r>
  </si>
  <si>
    <r>
      <rPr>
        <sz val="10"/>
        <rFont val="Malgun Gothic"/>
        <family val="0"/>
        <charset val="1"/>
      </rPr>
      <t xml:space="preserve">IFF EMER → (</t>
    </r>
    <r>
      <rPr>
        <sz val="10"/>
        <rFont val="Noto Sans CJK SC"/>
        <family val="2"/>
      </rPr>
      <t xml:space="preserve">장비 정리</t>
    </r>
    <r>
      <rPr>
        <sz val="10"/>
        <rFont val="Malgun Gothic"/>
        <family val="0"/>
        <charset val="1"/>
      </rPr>
      <t xml:space="preserve">) → NVG OFF(RSHIFT+H) → Throttle IDLE·</t>
    </r>
    <r>
      <rPr>
        <sz val="10"/>
        <rFont val="Noto Sans CJK SC"/>
        <family val="2"/>
      </rPr>
      <t xml:space="preserve">감속 → </t>
    </r>
    <r>
      <rPr>
        <sz val="10"/>
        <rFont val="Malgun Gothic"/>
        <family val="0"/>
        <charset val="1"/>
      </rPr>
      <t xml:space="preserve">LCTRL+E ×3</t>
    </r>
  </si>
  <si>
    <t xml:space="preserve">E1-36</t>
  </si>
  <si>
    <t xml:space="preserve">캐노피 분리 실패</t>
  </si>
  <si>
    <t xml:space="preserve">Failure of Canopy To Separate</t>
  </si>
  <si>
    <t xml:space="preserve">사출핸들 당김 후 캐노피 미분리</t>
  </si>
  <si>
    <r>
      <rPr>
        <sz val="10"/>
        <rFont val="Noto Sans CJK SC"/>
        <family val="2"/>
      </rPr>
      <t xml:space="preserve">캐노피 스위치 </t>
    </r>
    <r>
      <rPr>
        <sz val="10"/>
        <rFont val="Malgun Gothic"/>
        <family val="0"/>
        <charset val="1"/>
      </rPr>
      <t xml:space="preserve">UP → Canopy Jettison T-Handle → </t>
    </r>
    <r>
      <rPr>
        <sz val="10"/>
        <rFont val="Noto Sans CJK SC"/>
        <family val="2"/>
      </rPr>
      <t xml:space="preserve">수동 크랭크 </t>
    </r>
    <r>
      <rPr>
        <sz val="10"/>
        <rFont val="Malgun Gothic"/>
        <family val="0"/>
        <charset val="1"/>
      </rPr>
      <t xml:space="preserve">(DCS: </t>
    </r>
    <r>
      <rPr>
        <sz val="10"/>
        <rFont val="Noto Sans CJK SC"/>
        <family val="2"/>
      </rPr>
      <t xml:space="preserve">미발생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사출 재시도</t>
    </r>
    <r>
      <rPr>
        <sz val="10"/>
        <rFont val="Malgun Gothic"/>
        <family val="0"/>
        <charset val="1"/>
      </rPr>
      <t xml:space="preserve">)</t>
    </r>
  </si>
  <si>
    <t xml:space="preserve">3-41 ~ 3-42</t>
  </si>
  <si>
    <t xml:space="preserve">E1-37</t>
  </si>
  <si>
    <t xml:space="preserve">사출좌석 고장</t>
  </si>
  <si>
    <t xml:space="preserve">Ejection Seat Failure</t>
  </si>
  <si>
    <t xml:space="preserve">캐노피 분리 후 사출좌석 미작동</t>
  </si>
  <si>
    <r>
      <rPr>
        <sz val="10"/>
        <rFont val="Noto Sans CJK SC"/>
        <family val="2"/>
      </rPr>
      <t xml:space="preserve">미구현 — 사출좌석 고장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절차 없음</t>
    </r>
    <r>
      <rPr>
        <sz val="10"/>
        <rFont val="Malgun Gothic"/>
        <family val="0"/>
        <charset val="1"/>
      </rPr>
      <t xml:space="preserve">)</t>
    </r>
  </si>
  <si>
    <t xml:space="preserve">3-43</t>
  </si>
  <si>
    <t xml:space="preserve">E1-38</t>
  </si>
  <si>
    <r>
      <rPr>
        <sz val="10"/>
        <rFont val="Noto Sans CJK SC"/>
        <family val="2"/>
      </rPr>
      <t xml:space="preserve">수상 불시착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디칭</t>
    </r>
    <r>
      <rPr>
        <sz val="10"/>
        <rFont val="Malgun Gothic"/>
        <family val="0"/>
        <charset val="1"/>
      </rPr>
      <t xml:space="preserve">)</t>
    </r>
  </si>
  <si>
    <t xml:space="preserve">Ditching</t>
  </si>
  <si>
    <r>
      <rPr>
        <sz val="10"/>
        <rFont val="Noto Sans CJK SC"/>
        <family val="2"/>
      </rPr>
      <t xml:space="preserve">해상에서 착륙 불가 상황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사출 시도가 모두 실패한 경우에만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</si>
  <si>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미구현 — 디칭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사출 우선</t>
    </r>
    <r>
      <rPr>
        <sz val="10"/>
        <rFont val="Malgun Gothic"/>
        <family val="0"/>
        <charset val="1"/>
      </rPr>
      <t xml:space="preserve">)</t>
    </r>
  </si>
  <si>
    <t xml:space="preserve">E1-39</t>
  </si>
  <si>
    <r>
      <rPr>
        <sz val="10"/>
        <rFont val="Malgun Gothic"/>
        <family val="0"/>
        <charset val="1"/>
      </rPr>
      <t xml:space="preserve">FLCS PMG </t>
    </r>
    <r>
      <rPr>
        <sz val="10"/>
        <rFont val="Noto Sans CJK SC"/>
        <family val="2"/>
      </rPr>
      <t xml:space="preserve">고장</t>
    </r>
  </si>
  <si>
    <t xml:space="preserve">FLCS PMG Failure</t>
  </si>
  <si>
    <r>
      <rPr>
        <sz val="10"/>
        <rFont val="Noto Sans CJK SC"/>
        <family val="2"/>
      </rPr>
      <t xml:space="preserve">비행 중 </t>
    </r>
    <r>
      <rPr>
        <sz val="10"/>
        <rFont val="Malgun Gothic"/>
        <family val="0"/>
        <charset val="1"/>
      </rPr>
      <t xml:space="preserve">ELEC SYS </t>
    </r>
    <r>
      <rPr>
        <sz val="10"/>
        <rFont val="Noto Sans CJK SC"/>
        <family val="2"/>
      </rPr>
      <t xml:space="preserve">코션 </t>
    </r>
    <r>
      <rPr>
        <sz val="10"/>
        <rFont val="Malgun Gothic"/>
        <family val="0"/>
        <charset val="1"/>
      </rPr>
      <t xml:space="preserve">+ ELEC </t>
    </r>
    <r>
      <rPr>
        <sz val="10"/>
        <rFont val="Noto Sans CJK SC"/>
        <family val="2"/>
      </rPr>
      <t xml:space="preserve">패널 </t>
    </r>
    <r>
      <rPr>
        <sz val="10"/>
        <rFont val="Malgun Gothic"/>
        <family val="0"/>
        <charset val="1"/>
      </rPr>
      <t xml:space="preserve">FLCS PMG </t>
    </r>
    <r>
      <rPr>
        <sz val="10"/>
        <rFont val="Noto Sans CJK SC"/>
        <family val="2"/>
      </rPr>
      <t xml:space="preserve">등 점등</t>
    </r>
  </si>
  <si>
    <r>
      <rPr>
        <sz val="10"/>
        <rFont val="Malgun Gothic"/>
        <family val="0"/>
        <charset val="1"/>
      </rPr>
      <t xml:space="preserve">FLCS PMG </t>
    </r>
    <r>
      <rPr>
        <sz val="10"/>
        <rFont val="Noto Sans CJK SC"/>
        <family val="2"/>
      </rPr>
      <t xml:space="preserve">점등 → </t>
    </r>
    <r>
      <rPr>
        <sz val="10"/>
        <rFont val="Malgun Gothic"/>
        <family val="0"/>
        <charset val="1"/>
      </rPr>
      <t xml:space="preserve">ELEC CAUTION RESET → </t>
    </r>
    <r>
      <rPr>
        <sz val="10"/>
        <rFont val="Noto Sans CJK SC"/>
        <family val="2"/>
      </rPr>
      <t xml:space="preserve">잔여 </t>
    </r>
    <r>
      <rPr>
        <sz val="10"/>
        <rFont val="Malgun Gothic"/>
        <family val="0"/>
        <charset val="1"/>
      </rPr>
      <t xml:space="preserve">ELEC </t>
    </r>
    <r>
      <rPr>
        <sz val="10"/>
        <rFont val="Noto Sans CJK SC"/>
        <family val="2"/>
      </rPr>
      <t xml:space="preserve">등화 확인 → </t>
    </r>
    <r>
      <rPr>
        <sz val="10"/>
        <rFont val="Malgun Gothic"/>
        <family val="0"/>
        <charset val="1"/>
      </rPr>
      <t xml:space="preserve">Land practical</t>
    </r>
  </si>
  <si>
    <t xml:space="preserve">E1-40</t>
  </si>
  <si>
    <r>
      <rPr>
        <sz val="10"/>
        <rFont val="Noto Sans CJK SC"/>
        <family val="2"/>
      </rPr>
      <t xml:space="preserve">단일 발전기 고장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비행중</t>
    </r>
    <r>
      <rPr>
        <sz val="10"/>
        <rFont val="Malgun Gothic"/>
        <family val="0"/>
        <charset val="1"/>
      </rPr>
      <t xml:space="preserve">)</t>
    </r>
  </si>
  <si>
    <t xml:space="preserve">Single Generator Failures (in Flight)</t>
  </si>
  <si>
    <r>
      <rPr>
        <sz val="10"/>
        <rFont val="Noto Sans CJK SC"/>
        <family val="2"/>
      </rPr>
      <t xml:space="preserve">비행 중 </t>
    </r>
    <r>
      <rPr>
        <sz val="10"/>
        <rFont val="Malgun Gothic"/>
        <family val="0"/>
        <charset val="1"/>
      </rPr>
      <t xml:space="preserve">MAIN GEN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STBY GEN(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STBY GEN+FLCS PMG) </t>
    </r>
    <r>
      <rPr>
        <sz val="10"/>
        <rFont val="Noto Sans CJK SC"/>
        <family val="2"/>
      </rPr>
      <t xml:space="preserve">등 점등</t>
    </r>
    <r>
      <rPr>
        <sz val="10"/>
        <rFont val="Malgun Gothic"/>
        <family val="0"/>
        <charset val="1"/>
      </rPr>
      <t xml:space="preserve">, HUD/MFD 2~3</t>
    </r>
    <r>
      <rPr>
        <sz val="10"/>
        <rFont val="Noto Sans CJK SC"/>
        <family val="2"/>
      </rPr>
      <t xml:space="preserve">초 전원상실 동반 가능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</si>
  <si>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양쪽 점등</t>
    </r>
    <r>
      <rPr>
        <sz val="10"/>
        <rFont val="Malgun Gothic"/>
        <family val="0"/>
        <charset val="1"/>
      </rPr>
      <t xml:space="preserve">) EPU ON → ELEC CAUTION RESET → ADI </t>
    </r>
    <r>
      <rPr>
        <sz val="10"/>
        <rFont val="Noto Sans CJK SC"/>
        <family val="2"/>
      </rPr>
      <t xml:space="preserve">깃발 확인 → </t>
    </r>
    <r>
      <rPr>
        <sz val="10"/>
        <rFont val="Malgun Gothic"/>
        <family val="0"/>
        <charset val="1"/>
      </rPr>
      <t xml:space="preserve">Land practical (HUD/MFD </t>
    </r>
    <r>
      <rPr>
        <sz val="10"/>
        <rFont val="Noto Sans CJK SC"/>
        <family val="2"/>
      </rPr>
      <t xml:space="preserve">순간 상실 시 리셋 없이 </t>
    </r>
    <r>
      <rPr>
        <sz val="10"/>
        <rFont val="Malgun Gothic"/>
        <family val="0"/>
        <charset val="1"/>
      </rPr>
      <t xml:space="preserve">Land practical)</t>
    </r>
  </si>
  <si>
    <t xml:space="preserve">3-43 ~ 3-44</t>
  </si>
  <si>
    <t xml:space="preserve">E1-41</t>
  </si>
  <si>
    <r>
      <rPr>
        <sz val="10"/>
        <rFont val="Noto Sans CJK SC"/>
        <family val="2"/>
      </rPr>
      <t xml:space="preserve">주발전기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보조발전기 동시 고장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비행중</t>
    </r>
    <r>
      <rPr>
        <sz val="10"/>
        <rFont val="Malgun Gothic"/>
        <family val="0"/>
        <charset val="1"/>
      </rPr>
      <t xml:space="preserve">)</t>
    </r>
  </si>
  <si>
    <t xml:space="preserve">Main and Standby Generator Failure (in Flight)</t>
  </si>
  <si>
    <r>
      <rPr>
        <sz val="10"/>
        <rFont val="Noto Sans CJK SC"/>
        <family val="2"/>
      </rPr>
      <t xml:space="preserve">비행 중 </t>
    </r>
    <r>
      <rPr>
        <sz val="10"/>
        <rFont val="Malgun Gothic"/>
        <family val="0"/>
        <charset val="1"/>
      </rPr>
      <t xml:space="preserve">MAIN GEN·STBY GEN </t>
    </r>
    <r>
      <rPr>
        <sz val="10"/>
        <rFont val="Noto Sans CJK SC"/>
        <family val="2"/>
      </rPr>
      <t xml:space="preserve">동시 점등</t>
    </r>
    <r>
      <rPr>
        <sz val="10"/>
        <rFont val="Malgun Gothic"/>
        <family val="0"/>
        <charset val="1"/>
      </rPr>
      <t xml:space="preserve">, EPU AIR/EPU RUN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자동 시동</t>
    </r>
    <r>
      <rPr>
        <sz val="10"/>
        <rFont val="Malgun Gothic"/>
        <family val="0"/>
        <charset val="1"/>
      </rPr>
      <t xml:space="preserve">), HYDRAZN·AVIONICS FAULT·ENGINE FAULT </t>
    </r>
    <r>
      <rPr>
        <sz val="10"/>
        <rFont val="Noto Sans CJK SC"/>
        <family val="2"/>
      </rPr>
      <t xml:space="preserve">동반 가능</t>
    </r>
  </si>
  <si>
    <r>
      <rPr>
        <sz val="10"/>
        <rFont val="Malgun Gothic"/>
        <family val="0"/>
        <charset val="1"/>
      </rPr>
      <t xml:space="preserve">ELEC CAUTION RESET → EPU </t>
    </r>
    <r>
      <rPr>
        <sz val="10"/>
        <rFont val="Noto Sans CJK SC"/>
        <family val="2"/>
      </rPr>
      <t xml:space="preserve">자동시동 확인</t>
    </r>
    <r>
      <rPr>
        <sz val="10"/>
        <rFont val="Malgun Gothic"/>
        <family val="0"/>
        <charset val="1"/>
      </rPr>
      <t xml:space="preserve">(AIR/RUN) → ADI </t>
    </r>
    <r>
      <rPr>
        <sz val="10"/>
        <rFont val="Noto Sans CJK SC"/>
        <family val="2"/>
      </rPr>
      <t xml:space="preserve">깃발 → </t>
    </r>
    <r>
      <rPr>
        <sz val="10"/>
        <rFont val="Malgun Gothic"/>
        <family val="0"/>
        <charset val="1"/>
      </rPr>
      <t xml:space="preserve">Land ASAP(EPU </t>
    </r>
    <r>
      <rPr>
        <sz val="10"/>
        <rFont val="Noto Sans CJK SC"/>
        <family val="2"/>
      </rPr>
      <t xml:space="preserve">연료 감시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정지 후 주차브레이크 → </t>
    </r>
    <r>
      <rPr>
        <sz val="10"/>
        <rFont val="Malgun Gothic"/>
        <family val="0"/>
        <charset val="1"/>
      </rPr>
      <t xml:space="preserve">EPU OFF → MAIN PWR </t>
    </r>
    <r>
      <rPr>
        <sz val="10"/>
        <rFont val="Noto Sans CJK SC"/>
        <family val="2"/>
      </rPr>
      <t xml:space="preserve">유지</t>
    </r>
  </si>
  <si>
    <t xml:space="preserve">3-44 ~ 3-45</t>
  </si>
  <si>
    <t xml:space="preserve">E1-42</t>
  </si>
  <si>
    <r>
      <rPr>
        <sz val="10"/>
        <rFont val="Noto Sans CJK SC"/>
        <family val="2"/>
      </rPr>
      <t xml:space="preserve">주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보조</t>
    </r>
    <r>
      <rPr>
        <sz val="10"/>
        <rFont val="Malgun Gothic"/>
        <family val="0"/>
        <charset val="1"/>
      </rPr>
      <t xml:space="preserve">·EPU </t>
    </r>
    <r>
      <rPr>
        <sz val="10"/>
        <rFont val="Noto Sans CJK SC"/>
        <family val="2"/>
      </rPr>
      <t xml:space="preserve">발전기 동시 고장</t>
    </r>
  </si>
  <si>
    <t xml:space="preserve">Main, Standby, and EPU Generator Failure</t>
  </si>
  <si>
    <r>
      <rPr>
        <sz val="10"/>
        <rFont val="Malgun Gothic"/>
        <family val="0"/>
        <charset val="1"/>
      </rPr>
      <t xml:space="preserve">MAIN GEN·STBY GEN </t>
    </r>
    <r>
      <rPr>
        <sz val="10"/>
        <rFont val="Noto Sans CJK SC"/>
        <family val="2"/>
      </rPr>
      <t xml:space="preserve">점등 </t>
    </r>
    <r>
      <rPr>
        <sz val="10"/>
        <rFont val="Malgun Gothic"/>
        <family val="0"/>
        <charset val="1"/>
      </rPr>
      <t xml:space="preserve">+ EPU RUN </t>
    </r>
    <r>
      <rPr>
        <sz val="10"/>
        <rFont val="Noto Sans CJK SC"/>
        <family val="2"/>
      </rPr>
      <t xml:space="preserve">소등</t>
    </r>
    <r>
      <rPr>
        <sz val="10"/>
        <rFont val="Malgun Gothic"/>
        <family val="0"/>
        <charset val="1"/>
      </rPr>
      <t xml:space="preserve">(EPU GEN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항전 전체 상실</t>
    </r>
    <r>
      <rPr>
        <sz val="10"/>
        <rFont val="Malgun Gothic"/>
        <family val="0"/>
        <charset val="1"/>
      </rPr>
      <t xml:space="preserve">, ADI OFF/AUX </t>
    </r>
    <r>
      <rPr>
        <sz val="10"/>
        <rFont val="Noto Sans CJK SC"/>
        <family val="2"/>
      </rPr>
      <t xml:space="preserve">깃발</t>
    </r>
  </si>
  <si>
    <r>
      <rPr>
        <sz val="10"/>
        <rFont val="Malgun Gothic"/>
        <family val="0"/>
        <charset val="1"/>
      </rPr>
      <t xml:space="preserve">AOA≤12°/≥200kt → EPU ON → </t>
    </r>
    <r>
      <rPr>
        <sz val="10"/>
        <rFont val="Noto Sans CJK SC"/>
        <family val="2"/>
      </rPr>
      <t xml:space="preserve">추력↑</t>
    </r>
    <r>
      <rPr>
        <sz val="10"/>
        <rFont val="Malgun Gothic"/>
        <family val="0"/>
        <charset val="1"/>
      </rPr>
      <t xml:space="preserve">(HYDRAZN </t>
    </r>
    <r>
      <rPr>
        <sz val="10"/>
        <rFont val="Noto Sans CJK SC"/>
        <family val="2"/>
      </rPr>
      <t xml:space="preserve">소등</t>
    </r>
    <r>
      <rPr>
        <sz val="10"/>
        <rFont val="Malgun Gothic"/>
        <family val="0"/>
        <charset val="1"/>
      </rPr>
      <t xml:space="preserve">) → MAIN PWR BATT→MAIN → ELEC CAUTION RESET → HOOK DN → C&amp;I BACKUP → Land ASAP AOA 11° → LG DN(DN LOCK REL)/ALT GEAR ≤190kt → </t>
    </r>
    <r>
      <rPr>
        <sz val="10"/>
        <rFont val="Noto Sans CJK SC"/>
        <family val="2"/>
      </rPr>
      <t xml:space="preserve">케이블 → 주차브레이크</t>
    </r>
    <r>
      <rPr>
        <sz val="10"/>
        <rFont val="Malgun Gothic"/>
        <family val="0"/>
        <charset val="1"/>
      </rPr>
      <t xml:space="preserve">·MAIN PWR </t>
    </r>
    <r>
      <rPr>
        <sz val="10"/>
        <rFont val="Noto Sans CJK SC"/>
        <family val="2"/>
      </rPr>
      <t xml:space="preserve">유지</t>
    </r>
  </si>
  <si>
    <t xml:space="preserve">3-45 ~ 3-47</t>
  </si>
  <si>
    <t xml:space="preserve">E1-43</t>
  </si>
  <si>
    <r>
      <rPr>
        <sz val="10"/>
        <rFont val="Noto Sans CJK SC"/>
        <family val="2"/>
      </rPr>
      <t xml:space="preserve">비지령 </t>
    </r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작동</t>
    </r>
  </si>
  <si>
    <t xml:space="preserve">Uncommanded EPU Operation</t>
  </si>
  <si>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NORM/OFF </t>
    </r>
    <r>
      <rPr>
        <sz val="10"/>
        <rFont val="Noto Sans CJK SC"/>
        <family val="2"/>
      </rPr>
      <t xml:space="preserve">상태에서 </t>
    </r>
    <r>
      <rPr>
        <sz val="10"/>
        <rFont val="Malgun Gothic"/>
        <family val="0"/>
        <charset val="1"/>
      </rPr>
      <t xml:space="preserve">EPU RUN/AIR </t>
    </r>
    <r>
      <rPr>
        <sz val="10"/>
        <rFont val="Noto Sans CJK SC"/>
        <family val="2"/>
      </rPr>
      <t xml:space="preserve">등 점등 또는 </t>
    </r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회전 징후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비필수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DC </t>
    </r>
    <r>
      <rPr>
        <sz val="10"/>
        <rFont val="Noto Sans CJK SC"/>
        <family val="2"/>
      </rPr>
      <t xml:space="preserve">버스 상실 동반 가능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</si>
  <si>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추력 최소 → 필요 시 </t>
    </r>
    <r>
      <rPr>
        <sz val="10"/>
        <rFont val="Malgun Gothic"/>
        <family val="0"/>
        <charset val="1"/>
      </rPr>
      <t xml:space="preserve">EMER JETT → EPU </t>
    </r>
    <r>
      <rPr>
        <sz val="10"/>
        <rFont val="Noto Sans CJK SC"/>
        <family val="2"/>
      </rPr>
      <t xml:space="preserve">작동 유지 → </t>
    </r>
    <r>
      <rPr>
        <sz val="10"/>
        <rFont val="Malgun Gothic"/>
        <family val="0"/>
        <charset val="1"/>
      </rPr>
      <t xml:space="preserve">Land ASAP</t>
    </r>
  </si>
  <si>
    <t xml:space="preserve">3-47</t>
  </si>
  <si>
    <t xml:space="preserve">E1-44</t>
  </si>
  <si>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비정상 작동</t>
    </r>
  </si>
  <si>
    <t xml:space="preserve">Abnormal EPU Operation</t>
  </si>
  <si>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작동 후 </t>
    </r>
    <r>
      <rPr>
        <sz val="10"/>
        <rFont val="Malgun Gothic"/>
        <family val="0"/>
        <charset val="1"/>
      </rPr>
      <t xml:space="preserve">EPU RUN </t>
    </r>
    <r>
      <rPr>
        <sz val="10"/>
        <rFont val="Noto Sans CJK SC"/>
        <family val="2"/>
      </rPr>
      <t xml:space="preserve">등 점멸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소등</t>
    </r>
    <r>
      <rPr>
        <sz val="10"/>
        <rFont val="Malgun Gothic"/>
        <family val="0"/>
        <charset val="1"/>
      </rPr>
      <t xml:space="preserve">, HYDRAZN </t>
    </r>
    <r>
      <rPr>
        <sz val="10"/>
        <rFont val="Noto Sans CJK SC"/>
        <family val="2"/>
      </rPr>
      <t xml:space="preserve">등 지속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추력 증가에도 </t>
    </r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연료 감소 지속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</si>
  <si>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임의 </t>
    </r>
    <r>
      <rPr>
        <sz val="10"/>
        <rFont val="Malgun Gothic"/>
        <family val="0"/>
        <charset val="1"/>
      </rPr>
      <t xml:space="preserve">ON </t>
    </r>
    <r>
      <rPr>
        <sz val="10"/>
        <rFont val="Noto Sans CJK SC"/>
        <family val="2"/>
      </rPr>
      <t xml:space="preserve">시</t>
    </r>
    <r>
      <rPr>
        <sz val="10"/>
        <rFont val="Malgun Gothic"/>
        <family val="0"/>
        <charset val="1"/>
      </rPr>
      <t xml:space="preserve">) EPU OFF→NORM / (</t>
    </r>
    <r>
      <rPr>
        <sz val="10"/>
        <rFont val="Noto Sans CJK SC"/>
        <family val="2"/>
      </rPr>
      <t xml:space="preserve">자동 시</t>
    </r>
    <r>
      <rPr>
        <sz val="10"/>
        <rFont val="Malgun Gothic"/>
        <family val="0"/>
        <charset val="1"/>
      </rPr>
      <t xml:space="preserve">) RPM 82~90% </t>
    </r>
    <r>
      <rPr>
        <sz val="10"/>
        <rFont val="Noto Sans CJK SC"/>
        <family val="2"/>
      </rPr>
      <t xml:space="preserve">유지</t>
    </r>
    <r>
      <rPr>
        <sz val="10"/>
        <rFont val="Malgun Gothic"/>
        <family val="0"/>
        <charset val="1"/>
      </rPr>
      <t xml:space="preserve">·EPU </t>
    </r>
    <r>
      <rPr>
        <sz val="10"/>
        <rFont val="Noto Sans CJK SC"/>
        <family val="2"/>
      </rPr>
      <t xml:space="preserve">연료 감시 → </t>
    </r>
    <r>
      <rPr>
        <sz val="10"/>
        <rFont val="Malgun Gothic"/>
        <family val="0"/>
        <charset val="1"/>
      </rPr>
      <t xml:space="preserve">Land ASAP → </t>
    </r>
    <r>
      <rPr>
        <sz val="10"/>
        <rFont val="Noto Sans CJK SC"/>
        <family val="2"/>
      </rPr>
      <t xml:space="preserve">필요 시 </t>
    </r>
    <r>
      <rPr>
        <sz val="10"/>
        <rFont val="Malgun Gothic"/>
        <family val="0"/>
        <charset val="1"/>
      </rPr>
      <t xml:space="preserve">HOOK DN </t>
    </r>
    <r>
      <rPr>
        <sz val="10"/>
        <rFont val="Noto Sans CJK SC"/>
        <family val="2"/>
      </rPr>
      <t xml:space="preserve">어레스트</t>
    </r>
  </si>
  <si>
    <t xml:space="preserve">3-48</t>
  </si>
  <si>
    <t xml:space="preserve">E1-45</t>
  </si>
  <si>
    <r>
      <rPr>
        <sz val="10"/>
        <rFont val="Malgun Gothic"/>
        <family val="0"/>
        <charset val="1"/>
      </rPr>
      <t xml:space="preserve">FLCS RLY </t>
    </r>
    <r>
      <rPr>
        <sz val="10"/>
        <rFont val="Noto Sans CJK SC"/>
        <family val="2"/>
      </rPr>
      <t xml:space="preserve">등</t>
    </r>
  </si>
  <si>
    <t xml:space="preserve">FLCS RLY Light</t>
  </si>
  <si>
    <r>
      <rPr>
        <sz val="10"/>
        <rFont val="Noto Sans CJK SC"/>
        <family val="2"/>
      </rPr>
      <t xml:space="preserve">비행 중 </t>
    </r>
    <r>
      <rPr>
        <sz val="10"/>
        <rFont val="Malgun Gothic"/>
        <family val="0"/>
        <charset val="1"/>
      </rPr>
      <t xml:space="preserve">ELEC </t>
    </r>
    <r>
      <rPr>
        <sz val="10"/>
        <rFont val="Noto Sans CJK SC"/>
        <family val="2"/>
      </rPr>
      <t xml:space="preserve">패널 </t>
    </r>
    <r>
      <rPr>
        <sz val="10"/>
        <rFont val="Malgun Gothic"/>
        <family val="0"/>
        <charset val="1"/>
      </rPr>
      <t xml:space="preserve">FLCS RLY </t>
    </r>
    <r>
      <rPr>
        <sz val="10"/>
        <rFont val="Noto Sans CJK SC"/>
        <family val="2"/>
      </rPr>
      <t xml:space="preserve">등 점등</t>
    </r>
  </si>
  <si>
    <r>
      <rPr>
        <sz val="10"/>
        <rFont val="Malgun Gothic"/>
        <family val="0"/>
        <charset val="1"/>
      </rPr>
      <t xml:space="preserve">FLCS PWR TEST </t>
    </r>
    <r>
      <rPr>
        <sz val="10"/>
        <rFont val="Noto Sans CJK SC"/>
        <family val="2"/>
      </rPr>
      <t xml:space="preserve">순간 → 소등 시 </t>
    </r>
    <r>
      <rPr>
        <sz val="10"/>
        <rFont val="Malgun Gothic"/>
        <family val="0"/>
        <charset val="1"/>
      </rPr>
      <t xml:space="preserve">Land practical / </t>
    </r>
    <r>
      <rPr>
        <sz val="10"/>
        <rFont val="Noto Sans CJK SC"/>
        <family val="2"/>
      </rPr>
      <t xml:space="preserve">지속 시 </t>
    </r>
    <r>
      <rPr>
        <sz val="10"/>
        <rFont val="Malgun Gothic"/>
        <family val="0"/>
        <charset val="1"/>
      </rPr>
      <t xml:space="preserve">EPU ON → Land practical (EPU </t>
    </r>
    <r>
      <rPr>
        <sz val="10"/>
        <rFont val="Noto Sans CJK SC"/>
        <family val="2"/>
      </rPr>
      <t xml:space="preserve">비정상 시 </t>
    </r>
    <r>
      <rPr>
        <sz val="10"/>
        <rFont val="Malgun Gothic"/>
        <family val="0"/>
        <charset val="1"/>
      </rPr>
      <t xml:space="preserve">OFF→NORM, Land ASAP)</t>
    </r>
  </si>
  <si>
    <t xml:space="preserve">3-49</t>
  </si>
  <si>
    <t xml:space="preserve">E1-46</t>
  </si>
  <si>
    <t xml:space="preserve">부분 전기전원 상실</t>
  </si>
  <si>
    <t xml:space="preserve">Partial Electrical Power Loss</t>
  </si>
  <si>
    <r>
      <rPr>
        <sz val="10"/>
        <rFont val="Malgun Gothic"/>
        <family val="0"/>
        <charset val="1"/>
      </rPr>
      <t xml:space="preserve">ELEC </t>
    </r>
    <r>
      <rPr>
        <sz val="10"/>
        <rFont val="Noto Sans CJK SC"/>
        <family val="2"/>
      </rPr>
      <t xml:space="preserve">패널 등화 없이 </t>
    </r>
    <r>
      <rPr>
        <sz val="10"/>
        <rFont val="Malgun Gothic"/>
        <family val="0"/>
        <charset val="1"/>
      </rPr>
      <t xml:space="preserve">HUD/MFD/FCR/TACAN/VHF/DED </t>
    </r>
    <r>
      <rPr>
        <sz val="10"/>
        <rFont val="Noto Sans CJK SC"/>
        <family val="2"/>
      </rPr>
      <t xml:space="preserve">등 다수 장비 동시 전원 상실</t>
    </r>
  </si>
  <si>
    <r>
      <rPr>
        <sz val="10"/>
        <rFont val="Malgun Gothic"/>
        <family val="0"/>
        <charset val="1"/>
      </rPr>
      <t xml:space="preserve">ELEC CAUTION RESET → </t>
    </r>
    <r>
      <rPr>
        <sz val="10"/>
        <rFont val="Noto Sans CJK SC"/>
        <family val="2"/>
      </rPr>
      <t xml:space="preserve">복구 시 </t>
    </r>
    <r>
      <rPr>
        <sz val="10"/>
        <rFont val="Malgun Gothic"/>
        <family val="0"/>
        <charset val="1"/>
      </rPr>
      <t xml:space="preserve">Land practical / </t>
    </r>
    <r>
      <rPr>
        <sz val="10"/>
        <rFont val="Noto Sans CJK SC"/>
        <family val="2"/>
      </rPr>
      <t xml:space="preserve">미복구 시 백업 계기</t>
    </r>
    <r>
      <rPr>
        <sz val="10"/>
        <rFont val="Malgun Gothic"/>
        <family val="0"/>
        <charset val="1"/>
      </rPr>
      <t xml:space="preserve">·UHF </t>
    </r>
    <r>
      <rPr>
        <sz val="10"/>
        <rFont val="Noto Sans CJK SC"/>
        <family val="2"/>
      </rPr>
      <t xml:space="preserve">백업으로 </t>
    </r>
    <r>
      <rPr>
        <sz val="10"/>
        <rFont val="Malgun Gothic"/>
        <family val="0"/>
        <charset val="1"/>
      </rPr>
      <t xml:space="preserve">Land practical</t>
    </r>
  </si>
  <si>
    <t xml:space="preserve">E2-01</t>
  </si>
  <si>
    <r>
      <rPr>
        <sz val="10"/>
        <rFont val="Noto Sans CJK SC"/>
        <family val="2"/>
      </rPr>
      <t xml:space="preserve">부분 전기 동력 상실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이어짐</t>
    </r>
    <r>
      <rPr>
        <sz val="10"/>
        <rFont val="Malgun Gothic"/>
        <family val="0"/>
        <charset val="1"/>
      </rPr>
      <t xml:space="preserve">)</t>
    </r>
  </si>
  <si>
    <t xml:space="preserve">Partial Electrical Power Loss (continued)</t>
  </si>
  <si>
    <r>
      <rPr>
        <sz val="10"/>
        <rFont val="Malgun Gothic"/>
        <family val="0"/>
        <charset val="1"/>
      </rPr>
      <t xml:space="preserve">ELEC SYS </t>
    </r>
    <r>
      <rPr>
        <sz val="10"/>
        <rFont val="Noto Sans CJK SC"/>
        <family val="2"/>
      </rPr>
      <t xml:space="preserve">코션 없이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리셋 후에도</t>
    </r>
    <r>
      <rPr>
        <sz val="10"/>
        <rFont val="Malgun Gothic"/>
        <family val="0"/>
        <charset val="1"/>
      </rPr>
      <t xml:space="preserve">) MFD/DED/</t>
    </r>
    <r>
      <rPr>
        <sz val="10"/>
        <rFont val="Noto Sans CJK SC"/>
        <family val="2"/>
      </rPr>
      <t xml:space="preserve">무전기</t>
    </r>
    <r>
      <rPr>
        <sz val="10"/>
        <rFont val="Malgun Gothic"/>
        <family val="0"/>
        <charset val="1"/>
      </rPr>
      <t xml:space="preserve">/FCR </t>
    </r>
    <r>
      <rPr>
        <sz val="10"/>
        <rFont val="Noto Sans CJK SC"/>
        <family val="2"/>
      </rPr>
      <t xml:space="preserve">등 다수 계통이 동시에 죽어 버스 전원 상실이 의심될 때</t>
    </r>
    <r>
      <rPr>
        <sz val="10"/>
        <rFont val="Malgun Gothic"/>
        <family val="0"/>
        <charset val="1"/>
      </rPr>
      <t xml:space="preserve">, ELEC CAUTION RESET(1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로 전원이 복구되지 않은 경우</t>
    </r>
  </si>
  <si>
    <r>
      <rPr>
        <sz val="10"/>
        <rFont val="Malgun Gothic"/>
        <family val="0"/>
        <charset val="1"/>
      </rPr>
      <t xml:space="preserve">ELEC </t>
    </r>
    <r>
      <rPr>
        <sz val="10"/>
        <rFont val="Noto Sans CJK SC"/>
        <family val="2"/>
      </rPr>
      <t xml:space="preserve">패널 등화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계통 작동으로 버스 판정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비상 </t>
    </r>
    <r>
      <rPr>
        <sz val="10"/>
        <rFont val="Malgun Gothic"/>
        <family val="0"/>
        <charset val="1"/>
      </rPr>
      <t xml:space="preserve">AC </t>
    </r>
    <r>
      <rPr>
        <sz val="10"/>
        <rFont val="Noto Sans CJK SC"/>
        <family val="2"/>
      </rPr>
      <t xml:space="preserve">상실</t>
    </r>
    <r>
      <rPr>
        <sz val="10"/>
        <rFont val="Malgun Gothic"/>
        <family val="0"/>
        <charset val="1"/>
      </rPr>
      <t xml:space="preserve">) EPU ON → </t>
    </r>
    <r>
      <rPr>
        <sz val="10"/>
        <rFont val="Noto Sans CJK SC"/>
        <family val="2"/>
      </rPr>
      <t xml:space="preserve">케이블 비행장 선택</t>
    </r>
    <r>
      <rPr>
        <sz val="10"/>
        <rFont val="Malgun Gothic"/>
        <family val="0"/>
        <charset val="1"/>
      </rPr>
      <t xml:space="preserve">/HOOK DN → LG DN </t>
    </r>
    <r>
      <rPr>
        <sz val="10"/>
        <rFont val="Noto Sans CJK SC"/>
        <family val="2"/>
      </rPr>
      <t xml:space="preserve">시점 결정 → 즉시 착륙 → </t>
    </r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잔량 감시</t>
    </r>
  </si>
  <si>
    <t xml:space="preserve">3-51/3-52</t>
  </si>
  <si>
    <t xml:space="preserve">E2-02</t>
  </si>
  <si>
    <t xml:space="preserve">항공기 배터리 고장</t>
  </si>
  <si>
    <t xml:space="preserve">Aircraft Battery Failure</t>
  </si>
  <si>
    <r>
      <rPr>
        <sz val="10"/>
        <rFont val="Malgun Gothic"/>
        <family val="0"/>
        <charset val="1"/>
      </rPr>
      <t xml:space="preserve">ELEC SYS </t>
    </r>
    <r>
      <rPr>
        <sz val="10"/>
        <rFont val="Noto Sans CJK SC"/>
        <family val="2"/>
      </rPr>
      <t xml:space="preserve">코션등과 </t>
    </r>
    <r>
      <rPr>
        <sz val="10"/>
        <rFont val="Malgun Gothic"/>
        <family val="0"/>
        <charset val="1"/>
      </rPr>
      <t xml:space="preserve">ELEC </t>
    </r>
    <r>
      <rPr>
        <sz val="10"/>
        <rFont val="Noto Sans CJK SC"/>
        <family val="2"/>
      </rPr>
      <t xml:space="preserve">패널의 </t>
    </r>
    <r>
      <rPr>
        <sz val="10"/>
        <rFont val="Malgun Gothic"/>
        <family val="0"/>
        <charset val="1"/>
      </rPr>
      <t xml:space="preserve">ACFT BATT FAIL </t>
    </r>
    <r>
      <rPr>
        <sz val="10"/>
        <rFont val="Noto Sans CJK SC"/>
        <family val="2"/>
      </rPr>
      <t xml:space="preserve">등이 점등된 경우</t>
    </r>
    <r>
      <rPr>
        <sz val="10"/>
        <rFont val="Malgun Gothic"/>
        <family val="0"/>
        <charset val="1"/>
      </rPr>
      <t xml:space="preserve">(FLCS RLY </t>
    </r>
    <r>
      <rPr>
        <sz val="10"/>
        <rFont val="Noto Sans CJK SC"/>
        <family val="2"/>
      </rPr>
      <t xml:space="preserve">등 동반 가능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</si>
  <si>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EPU ON → </t>
    </r>
    <r>
      <rPr>
        <sz val="10"/>
        <rFont val="Noto Sans CJK SC"/>
        <family val="2"/>
      </rPr>
      <t xml:space="preserve">빨리 착륙</t>
    </r>
    <r>
      <rPr>
        <sz val="10"/>
        <rFont val="Malgun Gothic"/>
        <family val="0"/>
        <charset val="1"/>
      </rPr>
      <t xml:space="preserve">(EPU </t>
    </r>
    <r>
      <rPr>
        <sz val="10"/>
        <rFont val="Noto Sans CJK SC"/>
        <family val="2"/>
      </rPr>
      <t xml:space="preserve">잔량 감시</t>
    </r>
    <r>
      <rPr>
        <sz val="10"/>
        <rFont val="Malgun Gothic"/>
        <family val="0"/>
        <charset val="1"/>
      </rPr>
      <t xml:space="preserve">) → EPU </t>
    </r>
    <r>
      <rPr>
        <sz val="10"/>
        <rFont val="Noto Sans CJK SC"/>
        <family val="2"/>
      </rPr>
      <t xml:space="preserve">비정상 시 </t>
    </r>
    <r>
      <rPr>
        <sz val="10"/>
        <rFont val="Malgun Gothic"/>
        <family val="0"/>
        <charset val="1"/>
      </rPr>
      <t xml:space="preserve">OFF→NORM → </t>
    </r>
    <r>
      <rPr>
        <sz val="10"/>
        <rFont val="Noto Sans CJK SC"/>
        <family val="2"/>
      </rPr>
      <t xml:space="preserve">착륙 후 지상활주 최소화 → 엔진 정지 전 캐노피 </t>
    </r>
    <r>
      <rPr>
        <sz val="10"/>
        <rFont val="Malgun Gothic"/>
        <family val="0"/>
        <charset val="1"/>
      </rPr>
      <t xml:space="preserve">OPEN</t>
    </r>
  </si>
  <si>
    <t xml:space="preserve">E2-03</t>
  </si>
  <si>
    <r>
      <rPr>
        <sz val="10"/>
        <rFont val="Noto Sans CJK SC"/>
        <family val="2"/>
      </rPr>
      <t xml:space="preserve">엔진 화재 </t>
    </r>
    <r>
      <rPr>
        <sz val="10"/>
        <rFont val="Malgun Gothic"/>
        <family val="0"/>
        <charset val="1"/>
      </rPr>
      <t xml:space="preserve">(PW-229)</t>
    </r>
  </si>
  <si>
    <t xml:space="preserve">Engine Fire (PW-229)</t>
  </si>
  <si>
    <r>
      <rPr>
        <sz val="10"/>
        <rFont val="Malgun Gothic"/>
        <family val="0"/>
        <charset val="1"/>
      </rPr>
      <t xml:space="preserve">ENG FIRE </t>
    </r>
    <r>
      <rPr>
        <sz val="10"/>
        <rFont val="Noto Sans CJK SC"/>
        <family val="2"/>
      </rPr>
      <t xml:space="preserve">경고등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폭발음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진동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엔진 계기 요동 동반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</si>
  <si>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E2-18(Engine Fire (GE-129)) </t>
    </r>
    <r>
      <rPr>
        <sz val="10"/>
        <rFont val="Noto Sans CJK SC"/>
        <family val="2"/>
      </rPr>
      <t xml:space="preserve">체크리스트 사용</t>
    </r>
  </si>
  <si>
    <t xml:space="preserve">3-62/3-63</t>
  </si>
  <si>
    <t xml:space="preserve">E2-04</t>
  </si>
  <si>
    <r>
      <rPr>
        <sz val="10"/>
        <rFont val="Malgun Gothic"/>
        <family val="0"/>
        <charset val="1"/>
      </rPr>
      <t xml:space="preserve">OVERHEAT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(PW-229)</t>
    </r>
  </si>
  <si>
    <t xml:space="preserve">OVERHEAT Caution Light (PW-229)</t>
  </si>
  <si>
    <r>
      <rPr>
        <sz val="10"/>
        <rFont val="Malgun Gothic"/>
        <family val="0"/>
        <charset val="1"/>
      </rPr>
      <t xml:space="preserve">OVERHEAT </t>
    </r>
    <r>
      <rPr>
        <sz val="10"/>
        <rFont val="Noto Sans CJK SC"/>
        <family val="2"/>
      </rPr>
      <t xml:space="preserve">코션등 점등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</si>
  <si>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E2-19(OVERHEAT Caution Light (GE-129)) </t>
    </r>
    <r>
      <rPr>
        <sz val="10"/>
        <rFont val="Noto Sans CJK SC"/>
        <family val="2"/>
      </rPr>
      <t xml:space="preserve">체크리스트 사용</t>
    </r>
  </si>
  <si>
    <t xml:space="preserve">3-63/3-64</t>
  </si>
  <si>
    <t xml:space="preserve">E2-05</t>
  </si>
  <si>
    <r>
      <rPr>
        <sz val="10"/>
        <rFont val="Noto Sans CJK SC"/>
        <family val="2"/>
      </rPr>
      <t xml:space="preserve">엔진 진동 </t>
    </r>
    <r>
      <rPr>
        <sz val="10"/>
        <rFont val="Malgun Gothic"/>
        <family val="0"/>
        <charset val="1"/>
      </rPr>
      <t xml:space="preserve">(PW-229)</t>
    </r>
  </si>
  <si>
    <t xml:space="preserve">Engine Vibrations (PW-229)</t>
  </si>
  <si>
    <r>
      <rPr>
        <sz val="10"/>
        <rFont val="Noto Sans CJK SC"/>
        <family val="2"/>
      </rPr>
      <t xml:space="preserve">스로틀 이동에 따라 강도가 변하고 전 </t>
    </r>
    <r>
      <rPr>
        <sz val="10"/>
        <rFont val="Malgun Gothic"/>
        <family val="0"/>
        <charset val="1"/>
      </rPr>
      <t xml:space="preserve">RPM </t>
    </r>
    <r>
      <rPr>
        <sz val="10"/>
        <rFont val="Noto Sans CJK SC"/>
        <family val="2"/>
      </rPr>
      <t xml:space="preserve">범위에서 지속되는 엔진 진동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</si>
  <si>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E2-24(Abnormal Engine Response (GE-129)) </t>
    </r>
    <r>
      <rPr>
        <sz val="10"/>
        <rFont val="Noto Sans CJK SC"/>
        <family val="2"/>
      </rPr>
      <t xml:space="preserve">체크리스트 사용</t>
    </r>
  </si>
  <si>
    <t xml:space="preserve">3-64</t>
  </si>
  <si>
    <t xml:space="preserve">E2-06</t>
  </si>
  <si>
    <r>
      <rPr>
        <sz val="10"/>
        <rFont val="Noto Sans CJK SC"/>
        <family val="2"/>
      </rPr>
      <t xml:space="preserve">오일 계통 고장 </t>
    </r>
    <r>
      <rPr>
        <sz val="10"/>
        <rFont val="Malgun Gothic"/>
        <family val="0"/>
        <charset val="1"/>
      </rPr>
      <t xml:space="preserve">(PW-229)</t>
    </r>
  </si>
  <si>
    <t xml:space="preserve">Oil System Malfunction (PW-229)</t>
  </si>
  <si>
    <r>
      <rPr>
        <sz val="10"/>
        <rFont val="Noto Sans CJK SC"/>
        <family val="2"/>
      </rPr>
      <t xml:space="preserve">오일 압력이 </t>
    </r>
    <r>
      <rPr>
        <sz val="10"/>
        <rFont val="Malgun Gothic"/>
        <family val="0"/>
        <charset val="1"/>
      </rPr>
      <t xml:space="preserve">IDLE 15psi/MIL 30psi </t>
    </r>
    <r>
      <rPr>
        <sz val="10"/>
        <rFont val="Noto Sans CJK SC"/>
        <family val="2"/>
      </rPr>
      <t xml:space="preserve">미만</t>
    </r>
    <r>
      <rPr>
        <sz val="10"/>
        <rFont val="Malgun Gothic"/>
        <family val="0"/>
        <charset val="1"/>
      </rPr>
      <t xml:space="preserve">·95psi </t>
    </r>
    <r>
      <rPr>
        <sz val="10"/>
        <rFont val="Noto Sans CJK SC"/>
        <family val="2"/>
      </rPr>
      <t xml:space="preserve">초과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변동 과다 또는 스로틀 전진 시 상승 없음</t>
    </r>
    <r>
      <rPr>
        <sz val="10"/>
        <rFont val="Malgun Gothic"/>
        <family val="0"/>
        <charset val="1"/>
      </rPr>
      <t xml:space="preserve">(PW-229 </t>
    </r>
    <r>
      <rPr>
        <sz val="10"/>
        <rFont val="Noto Sans CJK SC"/>
        <family val="2"/>
      </rPr>
      <t xml:space="preserve">기준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</si>
  <si>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E2-20(Oil System Malfunction (GE-129)) </t>
    </r>
    <r>
      <rPr>
        <sz val="10"/>
        <rFont val="Noto Sans CJK SC"/>
        <family val="2"/>
      </rPr>
      <t xml:space="preserve">체크리스트 사용</t>
    </r>
  </si>
  <si>
    <t xml:space="preserve">3-64/3-65</t>
  </si>
  <si>
    <t xml:space="preserve">E2-07</t>
  </si>
  <si>
    <r>
      <rPr>
        <sz val="10"/>
        <rFont val="Malgun Gothic"/>
        <family val="0"/>
        <charset val="1"/>
      </rPr>
      <t xml:space="preserve">ENGINE FAULT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(PW-229)</t>
    </r>
  </si>
  <si>
    <t xml:space="preserve">ENGINE FAULT Caution Light (PW-229)</t>
  </si>
  <si>
    <r>
      <rPr>
        <sz val="10"/>
        <rFont val="Malgun Gothic"/>
        <family val="0"/>
        <charset val="1"/>
      </rPr>
      <t xml:space="preserve">ENGINE FAULT </t>
    </r>
    <r>
      <rPr>
        <sz val="10"/>
        <rFont val="Noto Sans CJK SC"/>
        <family val="2"/>
      </rPr>
      <t xml:space="preserve">코션등 점등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</si>
  <si>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E2-21(ENGINE FAULT Caution Light (GE-129)) </t>
    </r>
    <r>
      <rPr>
        <sz val="10"/>
        <rFont val="Noto Sans CJK SC"/>
        <family val="2"/>
      </rPr>
      <t xml:space="preserve">체크리스트 사용</t>
    </r>
  </si>
  <si>
    <t xml:space="preserve">3-65</t>
  </si>
  <si>
    <t xml:space="preserve">E2-08</t>
  </si>
  <si>
    <r>
      <rPr>
        <sz val="10"/>
        <rFont val="Malgun Gothic"/>
        <family val="0"/>
        <charset val="1"/>
      </rPr>
      <t xml:space="preserve">SEC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(PW-229)</t>
    </r>
  </si>
  <si>
    <t xml:space="preserve">SEC Caution Light (PW-229)</t>
  </si>
  <si>
    <r>
      <rPr>
        <sz val="10"/>
        <rFont val="Malgun Gothic"/>
        <family val="0"/>
        <charset val="1"/>
      </rPr>
      <t xml:space="preserve">ENG CONT </t>
    </r>
    <r>
      <rPr>
        <sz val="10"/>
        <rFont val="Noto Sans CJK SC"/>
        <family val="2"/>
      </rPr>
      <t xml:space="preserve">스위치가 </t>
    </r>
    <r>
      <rPr>
        <sz val="10"/>
        <rFont val="Malgun Gothic"/>
        <family val="0"/>
        <charset val="1"/>
      </rPr>
      <t xml:space="preserve">PRI</t>
    </r>
    <r>
      <rPr>
        <sz val="10"/>
        <rFont val="Noto Sans CJK SC"/>
        <family val="2"/>
      </rPr>
      <t xml:space="preserve">인데 </t>
    </r>
    <r>
      <rPr>
        <sz val="10"/>
        <rFont val="Malgun Gothic"/>
        <family val="0"/>
        <charset val="1"/>
      </rPr>
      <t xml:space="preserve">SEC </t>
    </r>
    <r>
      <rPr>
        <sz val="10"/>
        <rFont val="Noto Sans CJK SC"/>
        <family val="2"/>
      </rPr>
      <t xml:space="preserve">코션등 점등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</si>
  <si>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E2-22(SEC Caution Light (GE-129)) </t>
    </r>
    <r>
      <rPr>
        <sz val="10"/>
        <rFont val="Noto Sans CJK SC"/>
        <family val="2"/>
      </rPr>
      <t xml:space="preserve">체크리스트 사용</t>
    </r>
  </si>
  <si>
    <t xml:space="preserve">3-65/3-66</t>
  </si>
  <si>
    <t xml:space="preserve">E2-09</t>
  </si>
  <si>
    <r>
      <rPr>
        <sz val="10"/>
        <rFont val="Malgun Gothic"/>
        <family val="0"/>
        <charset val="1"/>
      </rPr>
      <t xml:space="preserve">RPM </t>
    </r>
    <r>
      <rPr>
        <sz val="10"/>
        <rFont val="Noto Sans CJK SC"/>
        <family val="2"/>
      </rPr>
      <t xml:space="preserve">지시 </t>
    </r>
    <r>
      <rPr>
        <sz val="10"/>
        <rFont val="Malgun Gothic"/>
        <family val="0"/>
        <charset val="1"/>
      </rPr>
      <t xml:space="preserve">0 </t>
    </r>
    <r>
      <rPr>
        <sz val="10"/>
        <rFont val="Noto Sans CJK SC"/>
        <family val="2"/>
      </rPr>
      <t xml:space="preserve">또는 오지시 </t>
    </r>
    <r>
      <rPr>
        <sz val="10"/>
        <rFont val="Malgun Gothic"/>
        <family val="0"/>
        <charset val="1"/>
      </rPr>
      <t xml:space="preserve">(PW-229)</t>
    </r>
  </si>
  <si>
    <t xml:space="preserve">Zero RPM/Erroneous RPM Indication (PW-229)</t>
  </si>
  <si>
    <r>
      <rPr>
        <sz val="10"/>
        <rFont val="Noto Sans CJK SC"/>
        <family val="2"/>
      </rPr>
      <t xml:space="preserve">다른 엔진 계기는 정상인데 </t>
    </r>
    <r>
      <rPr>
        <sz val="10"/>
        <rFont val="Malgun Gothic"/>
        <family val="0"/>
        <charset val="1"/>
      </rPr>
      <t xml:space="preserve">RPM </t>
    </r>
    <r>
      <rPr>
        <sz val="10"/>
        <rFont val="Noto Sans CJK SC"/>
        <family val="2"/>
      </rPr>
      <t xml:space="preserve">지시계가 </t>
    </r>
    <r>
      <rPr>
        <sz val="10"/>
        <rFont val="Malgun Gothic"/>
        <family val="0"/>
        <charset val="1"/>
      </rPr>
      <t xml:space="preserve">0 </t>
    </r>
    <r>
      <rPr>
        <sz val="10"/>
        <rFont val="Noto Sans CJK SC"/>
        <family val="2"/>
      </rPr>
      <t xml:space="preserve">또는 오지시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</si>
  <si>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E2-23(Zero RPM/Erroneous RPM Indication (GE-129)) </t>
    </r>
    <r>
      <rPr>
        <sz val="10"/>
        <rFont val="Noto Sans CJK SC"/>
        <family val="2"/>
      </rPr>
      <t xml:space="preserve">체크리스트 사용</t>
    </r>
  </si>
  <si>
    <t xml:space="preserve">3-66</t>
  </si>
  <si>
    <t xml:space="preserve">E2-10</t>
  </si>
  <si>
    <r>
      <rPr>
        <sz val="10"/>
        <rFont val="Noto Sans CJK SC"/>
        <family val="2"/>
      </rPr>
      <t xml:space="preserve">비정상 엔진 반응 </t>
    </r>
    <r>
      <rPr>
        <sz val="10"/>
        <rFont val="Malgun Gothic"/>
        <family val="0"/>
        <charset val="1"/>
      </rPr>
      <t xml:space="preserve">(PW-229)</t>
    </r>
  </si>
  <si>
    <t xml:space="preserve">Abnormal Engine Response (PW-229)</t>
  </si>
  <si>
    <r>
      <rPr>
        <sz val="10"/>
        <rFont val="Noto Sans CJK SC"/>
        <family val="2"/>
      </rPr>
      <t xml:space="preserve">스로틀 위치 대비 비정상 추력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스로틀 무반응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자동 가감속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노즐 고장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추력 부족 등</t>
    </r>
  </si>
  <si>
    <t xml:space="preserve">3-66/3-68</t>
  </si>
  <si>
    <t xml:space="preserve">E2-11</t>
  </si>
  <si>
    <r>
      <rPr>
        <sz val="10"/>
        <rFont val="Noto Sans CJK SC"/>
        <family val="2"/>
      </rPr>
      <t xml:space="preserve">배기노즐 고장 </t>
    </r>
    <r>
      <rPr>
        <sz val="10"/>
        <rFont val="Malgun Gothic"/>
        <family val="0"/>
        <charset val="1"/>
      </rPr>
      <t xml:space="preserve">(PW-229)</t>
    </r>
  </si>
  <si>
    <t xml:space="preserve">Nozzle Failure (PW-229)</t>
  </si>
  <si>
    <r>
      <rPr>
        <sz val="10"/>
        <rFont val="Malgun Gothic"/>
        <family val="0"/>
        <charset val="1"/>
      </rPr>
      <t xml:space="preserve">ENG THST LOW PFL, </t>
    </r>
    <r>
      <rPr>
        <sz val="10"/>
        <rFont val="Noto Sans CJK SC"/>
        <family val="2"/>
      </rPr>
      <t xml:space="preserve">노즐 완전폐쇄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개방 고착 지시</t>
    </r>
    <r>
      <rPr>
        <sz val="10"/>
        <rFont val="Malgun Gothic"/>
        <family val="0"/>
        <charset val="1"/>
      </rPr>
      <t xml:space="preserve">, PRI MIL</t>
    </r>
    <r>
      <rPr>
        <sz val="10"/>
        <rFont val="Noto Sans CJK SC"/>
        <family val="2"/>
      </rPr>
      <t xml:space="preserve">에서 </t>
    </r>
    <r>
      <rPr>
        <sz val="10"/>
        <rFont val="Malgun Gothic"/>
        <family val="0"/>
        <charset val="1"/>
      </rPr>
      <t xml:space="preserve">RPM 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5%·FTIT 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250℃ </t>
    </r>
    <r>
      <rPr>
        <sz val="10"/>
        <rFont val="Noto Sans CJK SC"/>
        <family val="2"/>
      </rPr>
      <t xml:space="preserve">저하 등 노즐 상실 징후</t>
    </r>
  </si>
  <si>
    <t xml:space="preserve">3-68/3-69</t>
  </si>
  <si>
    <t xml:space="preserve">E2-12</t>
  </si>
  <si>
    <r>
      <rPr>
        <sz val="10"/>
        <rFont val="Noto Sans CJK SC"/>
        <family val="2"/>
      </rPr>
      <t xml:space="preserve">엔진 실속 회복 </t>
    </r>
    <r>
      <rPr>
        <sz val="10"/>
        <rFont val="Malgun Gothic"/>
        <family val="0"/>
        <charset val="1"/>
      </rPr>
      <t xml:space="preserve">(PW-229)</t>
    </r>
  </si>
  <si>
    <t xml:space="preserve">Engine Stall Recovery (PW-229)</t>
  </si>
  <si>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중 굉음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배기구 화염구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비</t>
    </r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상태에서 스로틀 무반응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럼블</t>
    </r>
    <r>
      <rPr>
        <sz val="10"/>
        <rFont val="Malgun Gothic"/>
        <family val="0"/>
        <charset val="1"/>
      </rPr>
      <t xml:space="preserve">·FTIT </t>
    </r>
    <r>
      <rPr>
        <sz val="10"/>
        <rFont val="Noto Sans CJK SC"/>
        <family val="2"/>
      </rPr>
      <t xml:space="preserve">상승 등 압축기 실속 징후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</si>
  <si>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E2-25(Engine Stall Recovery (GE-129)) </t>
    </r>
    <r>
      <rPr>
        <sz val="10"/>
        <rFont val="Noto Sans CJK SC"/>
        <family val="2"/>
      </rPr>
      <t xml:space="preserve">체크리스트 사용</t>
    </r>
  </si>
  <si>
    <t xml:space="preserve">3-69/3-71</t>
  </si>
  <si>
    <t xml:space="preserve">E2-13</t>
  </si>
  <si>
    <r>
      <rPr>
        <sz val="10"/>
        <rFont val="Noto Sans CJK SC"/>
        <family val="2"/>
      </rPr>
      <t xml:space="preserve">흡입구 버즈 </t>
    </r>
    <r>
      <rPr>
        <sz val="10"/>
        <rFont val="Malgun Gothic"/>
        <family val="0"/>
        <charset val="1"/>
      </rPr>
      <t xml:space="preserve">(PW-229)</t>
    </r>
  </si>
  <si>
    <t xml:space="preserve">Inlet Buzz (PW-229)</t>
  </si>
  <si>
    <r>
      <rPr>
        <sz val="10"/>
        <rFont val="Noto Sans CJK SC"/>
        <family val="2"/>
      </rPr>
      <t xml:space="preserve">초음속 비행 중 스로틀을 </t>
    </r>
    <r>
      <rPr>
        <sz val="10"/>
        <rFont val="Malgun Gothic"/>
        <family val="0"/>
        <charset val="1"/>
      </rPr>
      <t xml:space="preserve">MIL </t>
    </r>
    <r>
      <rPr>
        <sz val="10"/>
        <rFont val="Noto Sans CJK SC"/>
        <family val="2"/>
      </rPr>
      <t xml:space="preserve">이하로 줄인 뒤 조종석 내 중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심한 진동 발생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</si>
  <si>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E2-26(Inlet Buzz (GE-129)) </t>
    </r>
    <r>
      <rPr>
        <sz val="10"/>
        <rFont val="Noto Sans CJK SC"/>
        <family val="2"/>
      </rPr>
      <t xml:space="preserve">체크리스트 사용</t>
    </r>
  </si>
  <si>
    <t xml:space="preserve">3-70</t>
  </si>
  <si>
    <t xml:space="preserve">E2-14</t>
  </si>
  <si>
    <r>
      <rPr>
        <sz val="10"/>
        <rFont val="Noto Sans CJK SC"/>
        <family val="2"/>
      </rPr>
      <t xml:space="preserve">엔진 실패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정지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플레임아웃</t>
    </r>
    <r>
      <rPr>
        <sz val="10"/>
        <rFont val="Malgun Gothic"/>
        <family val="0"/>
        <charset val="1"/>
      </rPr>
      <t xml:space="preserve">) (PW-229)</t>
    </r>
  </si>
  <si>
    <t xml:space="preserve">Engine Failure or Flameout (PW-229)</t>
  </si>
  <si>
    <r>
      <rPr>
        <sz val="10"/>
        <rFont val="Malgun Gothic"/>
        <family val="0"/>
        <charset val="1"/>
      </rPr>
      <t xml:space="preserve">FTIT </t>
    </r>
    <r>
      <rPr>
        <sz val="10"/>
        <rFont val="Noto Sans CJK SC"/>
        <family val="2"/>
      </rPr>
      <t xml:space="preserve">감소</t>
    </r>
    <r>
      <rPr>
        <sz val="10"/>
        <rFont val="Malgun Gothic"/>
        <family val="0"/>
        <charset val="1"/>
      </rPr>
      <t xml:space="preserve">·RPM 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60%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(PW </t>
    </r>
    <r>
      <rPr>
        <sz val="10"/>
        <rFont val="Noto Sans CJK SC"/>
        <family val="2"/>
      </rPr>
      <t xml:space="preserve">기준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강하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추력 상실</t>
    </r>
    <r>
      <rPr>
        <sz val="10"/>
        <rFont val="Malgun Gothic"/>
        <family val="0"/>
        <charset val="1"/>
      </rPr>
      <t xml:space="preserve">, ENGINE </t>
    </r>
    <r>
      <rPr>
        <sz val="10"/>
        <rFont val="Noto Sans CJK SC"/>
        <family val="2"/>
      </rPr>
      <t xml:space="preserve">경고등 점등</t>
    </r>
    <r>
      <rPr>
        <sz val="10"/>
        <rFont val="Malgun Gothic"/>
        <family val="0"/>
        <charset val="1"/>
      </rPr>
      <t xml:space="preserve">, MAIN GEN/STBY GEN </t>
    </r>
    <r>
      <rPr>
        <sz val="10"/>
        <rFont val="Noto Sans CJK SC"/>
        <family val="2"/>
      </rPr>
      <t xml:space="preserve">점등 및 </t>
    </r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자동 가동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</si>
  <si>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E2-29(Engine Failure or Flameout (GE-129)) </t>
    </r>
    <r>
      <rPr>
        <sz val="10"/>
        <rFont val="Noto Sans CJK SC"/>
        <family val="2"/>
      </rPr>
      <t xml:space="preserve">체크리스트 사용</t>
    </r>
  </si>
  <si>
    <t xml:space="preserve">3-70/3-72</t>
  </si>
  <si>
    <t xml:space="preserve">E2-15</t>
  </si>
  <si>
    <r>
      <rPr>
        <sz val="10"/>
        <rFont val="Noto Sans CJK SC"/>
        <family val="2"/>
      </rPr>
      <t xml:space="preserve">저고도 엔진 실패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정지 </t>
    </r>
    <r>
      <rPr>
        <sz val="10"/>
        <rFont val="Malgun Gothic"/>
        <family val="0"/>
        <charset val="1"/>
      </rPr>
      <t xml:space="preserve">(PW-229)</t>
    </r>
  </si>
  <si>
    <t xml:space="preserve">Low Altitude Engine Failure or Flameout (PW-229)</t>
  </si>
  <si>
    <r>
      <rPr>
        <sz val="10"/>
        <rFont val="Noto Sans CJK SC"/>
        <family val="2"/>
      </rPr>
      <t xml:space="preserve">저고도에서 엔진 정지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추력 상실</t>
    </r>
    <r>
      <rPr>
        <sz val="10"/>
        <rFont val="Malgun Gothic"/>
        <family val="0"/>
        <charset val="1"/>
      </rPr>
      <t xml:space="preserve">(350kt </t>
    </r>
    <r>
      <rPr>
        <sz val="10"/>
        <rFont val="Noto Sans CJK SC"/>
        <family val="2"/>
      </rPr>
      <t xml:space="preserve">이상이면 줌클라임 기준 — </t>
    </r>
    <r>
      <rPr>
        <sz val="10"/>
        <rFont val="Malgun Gothic"/>
        <family val="0"/>
        <charset val="1"/>
      </rPr>
      <t xml:space="preserve">PW-229)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</si>
  <si>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E2-30(Low Altitude Engine Failure or Flameout (GE-129)) </t>
    </r>
    <r>
      <rPr>
        <sz val="10"/>
        <rFont val="Noto Sans CJK SC"/>
        <family val="2"/>
      </rPr>
      <t xml:space="preserve">체크리스트 사용</t>
    </r>
  </si>
  <si>
    <t xml:space="preserve">3-72</t>
  </si>
  <si>
    <t xml:space="preserve">E2-16</t>
  </si>
  <si>
    <r>
      <rPr>
        <sz val="10"/>
        <rFont val="Noto Sans CJK SC"/>
        <family val="2"/>
      </rPr>
      <t xml:space="preserve">공중재시동 개관 </t>
    </r>
    <r>
      <rPr>
        <sz val="10"/>
        <rFont val="Malgun Gothic"/>
        <family val="0"/>
        <charset val="1"/>
      </rPr>
      <t xml:space="preserve">(PW-229)</t>
    </r>
  </si>
  <si>
    <t xml:space="preserve">Airstarts (PW-229)</t>
  </si>
  <si>
    <r>
      <rPr>
        <sz val="10"/>
        <rFont val="Noto Sans CJK SC"/>
        <family val="2"/>
      </rPr>
      <t xml:space="preserve">엔진 정지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실속 후 재시동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플레임아웃 착륙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사출 중 선택이 필요한 시점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</si>
  <si>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E2-31(Airstarts (GE-129)) </t>
    </r>
    <r>
      <rPr>
        <sz val="10"/>
        <rFont val="Noto Sans CJK SC"/>
        <family val="2"/>
      </rPr>
      <t xml:space="preserve">체크리스트 사용</t>
    </r>
  </si>
  <si>
    <t xml:space="preserve">3-72/3-80</t>
  </si>
  <si>
    <t xml:space="preserve">E2-17</t>
  </si>
  <si>
    <r>
      <rPr>
        <sz val="10"/>
        <rFont val="Noto Sans CJK SC"/>
        <family val="2"/>
      </rPr>
      <t xml:space="preserve">공중재시동 절차 </t>
    </r>
    <r>
      <rPr>
        <sz val="10"/>
        <rFont val="Malgun Gothic"/>
        <family val="0"/>
        <charset val="1"/>
      </rPr>
      <t xml:space="preserve">(PW-229)</t>
    </r>
  </si>
  <si>
    <t xml:space="preserve">Airstart Procedures (PW-229)</t>
  </si>
  <si>
    <r>
      <rPr>
        <sz val="10"/>
        <rFont val="Noto Sans CJK SC"/>
        <family val="2"/>
      </rPr>
      <t xml:space="preserve">엔진 정지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실속 확인 후 재시동을 결정한 경우</t>
    </r>
  </si>
  <si>
    <r>
      <rPr>
        <sz val="10"/>
        <rFont val="Malgun Gothic"/>
        <family val="0"/>
        <charset val="1"/>
      </rPr>
      <t xml:space="preserve">PW-229 </t>
    </r>
    <r>
      <rPr>
        <sz val="10"/>
        <rFont val="Noto Sans CJK SC"/>
        <family val="2"/>
      </rPr>
      <t xml:space="preserve">전용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미구현 → </t>
    </r>
    <r>
      <rPr>
        <sz val="10"/>
        <rFont val="Malgun Gothic"/>
        <family val="0"/>
        <charset val="1"/>
      </rPr>
      <t xml:space="preserve">E2-32(Airstart Procedures (GE-129)) </t>
    </r>
    <r>
      <rPr>
        <sz val="10"/>
        <rFont val="Noto Sans CJK SC"/>
        <family val="2"/>
      </rPr>
      <t xml:space="preserve">체크리스트 사용</t>
    </r>
  </si>
  <si>
    <t xml:space="preserve">3-80/3-82</t>
  </si>
  <si>
    <t xml:space="preserve">E2-18</t>
  </si>
  <si>
    <r>
      <rPr>
        <sz val="10"/>
        <rFont val="Noto Sans CJK SC"/>
        <family val="2"/>
      </rPr>
      <t xml:space="preserve">엔진 화재 </t>
    </r>
    <r>
      <rPr>
        <sz val="10"/>
        <rFont val="Malgun Gothic"/>
        <family val="0"/>
        <charset val="1"/>
      </rPr>
      <t xml:space="preserve">(GE-129)</t>
    </r>
  </si>
  <si>
    <t xml:space="preserve">Engine Fire (GE-129)</t>
  </si>
  <si>
    <r>
      <rPr>
        <sz val="10"/>
        <rFont val="Malgun Gothic"/>
        <family val="0"/>
        <charset val="1"/>
      </rPr>
      <t xml:space="preserve">ENG FIRE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아이브로우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폭발음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진동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엔진 계기 요동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연료유량 이상 동반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</si>
  <si>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이륙 중</t>
    </r>
    <r>
      <rPr>
        <sz val="10"/>
        <rFont val="Malgun Gothic"/>
        <family val="0"/>
        <charset val="1"/>
      </rPr>
      <t xml:space="preserve">) Abort </t>
    </r>
    <r>
      <rPr>
        <sz val="10"/>
        <rFont val="Noto Sans CJK SC"/>
        <family val="2"/>
      </rPr>
      <t xml:space="preserve">또는 이륙추력 상승 → </t>
    </r>
    <r>
      <rPr>
        <sz val="10"/>
        <rFont val="Malgun Gothic"/>
        <family val="0"/>
        <charset val="1"/>
      </rPr>
      <t xml:space="preserve">EMER JETT(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스로틀 최소 실용값 → </t>
    </r>
    <r>
      <rPr>
        <sz val="10"/>
        <rFont val="Malgun Gothic"/>
        <family val="0"/>
        <charset val="1"/>
      </rPr>
      <t xml:space="preserve">FIRE &amp; OHEAT DETECT </t>
    </r>
    <r>
      <rPr>
        <sz val="10"/>
        <rFont val="Noto Sans CJK SC"/>
        <family val="2"/>
      </rPr>
      <t xml:space="preserve">눌러 회로 확인 → 화재 지속 시 </t>
    </r>
    <r>
      <rPr>
        <sz val="10"/>
        <rFont val="Malgun Gothic"/>
        <family val="0"/>
        <charset val="1"/>
      </rPr>
      <t xml:space="preserve">EJECT / </t>
    </r>
    <r>
      <rPr>
        <sz val="10"/>
        <rFont val="Noto Sans CJK SC"/>
        <family val="2"/>
      </rPr>
      <t xml:space="preserve">소멸 시 즉시 착륙</t>
    </r>
  </si>
  <si>
    <t xml:space="preserve">3-82/3-83</t>
  </si>
  <si>
    <t xml:space="preserve">E2-19</t>
  </si>
  <si>
    <r>
      <rPr>
        <sz val="10"/>
        <rFont val="Malgun Gothic"/>
        <family val="0"/>
        <charset val="1"/>
      </rPr>
      <t xml:space="preserve">OVERHEAT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(GE-129)</t>
    </r>
  </si>
  <si>
    <t xml:space="preserve">OVERHEAT Caution Light (GE-129)</t>
  </si>
  <si>
    <r>
      <rPr>
        <sz val="10"/>
        <rFont val="Malgun Gothic"/>
        <family val="0"/>
        <charset val="1"/>
      </rPr>
      <t xml:space="preserve">OVERHEAT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엔진실</t>
    </r>
    <r>
      <rPr>
        <sz val="10"/>
        <rFont val="Malgun Gothic"/>
        <family val="0"/>
        <charset val="1"/>
      </rPr>
      <t xml:space="preserve">·ECS </t>
    </r>
    <r>
      <rPr>
        <sz val="10"/>
        <rFont val="Noto Sans CJK SC"/>
        <family val="2"/>
      </rPr>
      <t xml:space="preserve">베이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주기어 휠웰</t>
    </r>
    <r>
      <rPr>
        <sz val="10"/>
        <rFont val="Malgun Gothic"/>
        <family val="0"/>
        <charset val="1"/>
      </rPr>
      <t xml:space="preserve">·EPU </t>
    </r>
    <r>
      <rPr>
        <sz val="10"/>
        <rFont val="Noto Sans CJK SC"/>
        <family val="2"/>
      </rPr>
      <t xml:space="preserve">베이 과열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</si>
  <si>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스로틀 최소 → </t>
    </r>
    <r>
      <rPr>
        <sz val="10"/>
        <rFont val="Malgun Gothic"/>
        <family val="0"/>
        <charset val="1"/>
      </rPr>
      <t xml:space="preserve">FIRE &amp; OHEAT DETECT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EPU OFF(</t>
    </r>
    <r>
      <rPr>
        <sz val="10"/>
        <rFont val="Noto Sans CJK SC"/>
        <family val="2"/>
      </rPr>
      <t xml:space="preserve">작동 중이면</t>
    </r>
    <r>
      <rPr>
        <sz val="10"/>
        <rFont val="Malgun Gothic"/>
        <family val="0"/>
        <charset val="1"/>
      </rPr>
      <t xml:space="preserve">) → OXY 100% → AIR SOURCE OFF → 25,000ft/500kt </t>
    </r>
    <r>
      <rPr>
        <sz val="10"/>
        <rFont val="Noto Sans CJK SC"/>
        <family val="2"/>
      </rPr>
      <t xml:space="preserve">이하 → </t>
    </r>
    <r>
      <rPr>
        <sz val="10"/>
        <rFont val="Malgun Gothic"/>
        <family val="0"/>
        <charset val="1"/>
      </rPr>
      <t xml:space="preserve">AIR SOURCE RAM → </t>
    </r>
    <r>
      <rPr>
        <sz val="10"/>
        <rFont val="Noto Sans CJK SC"/>
        <family val="2"/>
      </rPr>
      <t xml:space="preserve">비필수 전기 </t>
    </r>
    <r>
      <rPr>
        <sz val="10"/>
        <rFont val="Malgun Gothic"/>
        <family val="0"/>
        <charset val="1"/>
      </rPr>
      <t xml:space="preserve">OFF → TANK INERTING → LG DN → </t>
    </r>
    <r>
      <rPr>
        <sz val="10"/>
        <rFont val="Noto Sans CJK SC"/>
        <family val="2"/>
      </rPr>
      <t xml:space="preserve">즉시 착륙</t>
    </r>
  </si>
  <si>
    <t xml:space="preserve">3-83/3-84</t>
  </si>
  <si>
    <t xml:space="preserve">E2-20</t>
  </si>
  <si>
    <r>
      <rPr>
        <sz val="10"/>
        <rFont val="Noto Sans CJK SC"/>
        <family val="2"/>
      </rPr>
      <t xml:space="preserve">오일 계통 고장 </t>
    </r>
    <r>
      <rPr>
        <sz val="10"/>
        <rFont val="Malgun Gothic"/>
        <family val="0"/>
        <charset val="1"/>
      </rPr>
      <t xml:space="preserve">(GE-129)</t>
    </r>
  </si>
  <si>
    <t xml:space="preserve">Oil System Malfunction (GE-129)</t>
  </si>
  <si>
    <r>
      <rPr>
        <sz val="10"/>
        <rFont val="Noto Sans CJK SC"/>
        <family val="2"/>
      </rPr>
      <t xml:space="preserve">오일 압력이 </t>
    </r>
    <r>
      <rPr>
        <sz val="10"/>
        <rFont val="Malgun Gothic"/>
        <family val="0"/>
        <charset val="1"/>
      </rPr>
      <t xml:space="preserve">IDLE 15psi/MIL 25psi </t>
    </r>
    <r>
      <rPr>
        <sz val="10"/>
        <rFont val="Noto Sans CJK SC"/>
        <family val="2"/>
      </rPr>
      <t xml:space="preserve">미만</t>
    </r>
    <r>
      <rPr>
        <sz val="10"/>
        <rFont val="Malgun Gothic"/>
        <family val="0"/>
        <charset val="1"/>
      </rPr>
      <t xml:space="preserve">, 65psi </t>
    </r>
    <r>
      <rPr>
        <sz val="10"/>
        <rFont val="Noto Sans CJK SC"/>
        <family val="2"/>
      </rPr>
      <t xml:space="preserve">초과</t>
    </r>
    <r>
      <rPr>
        <sz val="10"/>
        <rFont val="Malgun Gothic"/>
        <family val="0"/>
        <charset val="1"/>
      </rPr>
      <t xml:space="preserve">, ±5psi </t>
    </r>
    <r>
      <rPr>
        <sz val="10"/>
        <rFont val="Noto Sans CJK SC"/>
        <family val="2"/>
      </rPr>
      <t xml:space="preserve">초과 변동</t>
    </r>
    <r>
      <rPr>
        <sz val="10"/>
        <rFont val="Malgun Gothic"/>
        <family val="0"/>
        <charset val="1"/>
      </rPr>
      <t xml:space="preserve">, RPM </t>
    </r>
    <r>
      <rPr>
        <sz val="10"/>
        <rFont val="Noto Sans CJK SC"/>
        <family val="2"/>
      </rPr>
      <t xml:space="preserve">증가에 따라 오일압이 오르지 않음</t>
    </r>
    <r>
      <rPr>
        <sz val="10"/>
        <rFont val="Malgun Gothic"/>
        <family val="0"/>
        <charset val="1"/>
      </rPr>
      <t xml:space="preserve">, ENG LUBE LOW PFL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HYD/OIL PRESS </t>
    </r>
    <r>
      <rPr>
        <sz val="10"/>
        <rFont val="Noto Sans CJK SC"/>
        <family val="2"/>
      </rPr>
      <t xml:space="preserve">경고등 점등</t>
    </r>
  </si>
  <si>
    <r>
      <rPr>
        <sz val="10"/>
        <rFont val="Malgun Gothic"/>
        <family val="0"/>
        <charset val="1"/>
      </rPr>
      <t xml:space="preserve">OIL PRESS </t>
    </r>
    <r>
      <rPr>
        <sz val="10"/>
        <rFont val="Noto Sans CJK SC"/>
        <family val="2"/>
      </rPr>
      <t xml:space="preserve">확인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항속거리 최대화 → 가까운 비행장 선택 → 저압 시 </t>
    </r>
    <r>
      <rPr>
        <sz val="10"/>
        <rFont val="Malgun Gothic"/>
        <family val="0"/>
        <charset val="1"/>
      </rPr>
      <t xml:space="preserve">EMER JETT(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10psi </t>
    </r>
    <r>
      <rPr>
        <sz val="10"/>
        <rFont val="Noto Sans CJK SC"/>
        <family val="2"/>
      </rPr>
      <t xml:space="preserve">미만 시 </t>
    </r>
    <r>
      <rPr>
        <sz val="10"/>
        <rFont val="Malgun Gothic"/>
        <family val="0"/>
        <charset val="1"/>
      </rPr>
      <t xml:space="preserve">EPU ON → </t>
    </r>
    <r>
      <rPr>
        <sz val="10"/>
        <rFont val="Noto Sans CJK SC"/>
        <family val="2"/>
      </rPr>
      <t xml:space="preserve">스로틀 고정</t>
    </r>
    <r>
      <rPr>
        <sz val="10"/>
        <rFont val="Malgun Gothic"/>
        <family val="0"/>
        <charset val="1"/>
      </rPr>
      <t xml:space="preserve">·SFO </t>
    </r>
    <r>
      <rPr>
        <sz val="10"/>
        <rFont val="Noto Sans CJK SC"/>
        <family val="2"/>
      </rPr>
      <t xml:space="preserve">착륙 </t>
    </r>
    <r>
      <rPr>
        <sz val="10"/>
        <rFont val="Malgun Gothic"/>
        <family val="0"/>
        <charset val="1"/>
      </rPr>
      <t xml:space="preserve">/ PFL</t>
    </r>
    <r>
      <rPr>
        <sz val="10"/>
        <rFont val="Noto Sans CJK SC"/>
        <family val="2"/>
      </rPr>
      <t xml:space="preserve">만 있으면 </t>
    </r>
    <r>
      <rPr>
        <sz val="10"/>
        <rFont val="Malgun Gothic"/>
        <family val="0"/>
        <charset val="1"/>
      </rPr>
      <t xml:space="preserve">F-ACK → 15</t>
    </r>
    <r>
      <rPr>
        <sz val="10"/>
        <rFont val="Noto Sans CJK SC"/>
        <family val="2"/>
      </rPr>
      <t xml:space="preserve">초 후 재조회</t>
    </r>
  </si>
  <si>
    <t xml:space="preserve">3-84/3-85</t>
  </si>
  <si>
    <t xml:space="preserve">E2-21</t>
  </si>
  <si>
    <r>
      <rPr>
        <sz val="10"/>
        <rFont val="Malgun Gothic"/>
        <family val="0"/>
        <charset val="1"/>
      </rPr>
      <t xml:space="preserve">ENGINE FAULT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(GE-129)</t>
    </r>
  </si>
  <si>
    <t xml:space="preserve">ENGINE FAULT Caution Light (GE-129)</t>
  </si>
  <si>
    <r>
      <rPr>
        <sz val="10"/>
        <rFont val="Malgun Gothic"/>
        <family val="0"/>
        <charset val="1"/>
      </rPr>
      <t xml:space="preserve">ENGINE FAULT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엔진 </t>
    </r>
    <r>
      <rPr>
        <sz val="10"/>
        <rFont val="Malgun Gothic"/>
        <family val="0"/>
        <charset val="1"/>
      </rPr>
      <t xml:space="preserve">PFL </t>
    </r>
    <r>
      <rPr>
        <sz val="10"/>
        <rFont val="Noto Sans CJK SC"/>
        <family val="2"/>
      </rPr>
      <t xml:space="preserve">감지</t>
    </r>
    <r>
      <rPr>
        <sz val="10"/>
        <rFont val="Malgun Gothic"/>
        <family val="0"/>
        <charset val="1"/>
      </rPr>
      <t xml:space="preserve">), Master Caution </t>
    </r>
    <r>
      <rPr>
        <sz val="10"/>
        <rFont val="Noto Sans CJK SC"/>
        <family val="2"/>
      </rPr>
      <t xml:space="preserve">동반</t>
    </r>
  </si>
  <si>
    <r>
      <rPr>
        <sz val="10"/>
        <rFont val="Malgun Gothic"/>
        <family val="0"/>
        <charset val="1"/>
      </rPr>
      <t xml:space="preserve">PFLD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F-ACK(</t>
    </r>
    <r>
      <rPr>
        <sz val="10"/>
        <rFont val="Noto Sans CJK SC"/>
        <family val="2"/>
      </rPr>
      <t xml:space="preserve">승인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해당 </t>
    </r>
    <r>
      <rPr>
        <sz val="10"/>
        <rFont val="Malgun Gothic"/>
        <family val="0"/>
        <charset val="1"/>
      </rPr>
      <t xml:space="preserve">PFL </t>
    </r>
    <r>
      <rPr>
        <sz val="10"/>
        <rFont val="Noto Sans CJK SC"/>
        <family val="2"/>
      </rPr>
      <t xml:space="preserve">절차로 분기 → </t>
    </r>
    <r>
      <rPr>
        <sz val="10"/>
        <rFont val="Malgun Gothic"/>
        <family val="0"/>
        <charset val="1"/>
      </rPr>
      <t xml:space="preserve">F-ACK(</t>
    </r>
    <r>
      <rPr>
        <sz val="10"/>
        <rFont val="Noto Sans CJK SC"/>
        <family val="2"/>
      </rPr>
      <t xml:space="preserve">재조회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로 해소 확인</t>
    </r>
  </si>
  <si>
    <t xml:space="preserve">3-85</t>
  </si>
  <si>
    <t xml:space="preserve">E2-22</t>
  </si>
  <si>
    <r>
      <rPr>
        <sz val="10"/>
        <rFont val="Malgun Gothic"/>
        <family val="0"/>
        <charset val="1"/>
      </rPr>
      <t xml:space="preserve">SEC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(GE-129)</t>
    </r>
  </si>
  <si>
    <t xml:space="preserve">SEC Caution Light (GE-129)</t>
  </si>
  <si>
    <r>
      <rPr>
        <sz val="10"/>
        <rFont val="Malgun Gothic"/>
        <family val="0"/>
        <charset val="1"/>
      </rPr>
      <t xml:space="preserve">ENG CONT </t>
    </r>
    <r>
      <rPr>
        <sz val="10"/>
        <rFont val="Noto Sans CJK SC"/>
        <family val="2"/>
      </rPr>
      <t xml:space="preserve">스위치가 </t>
    </r>
    <r>
      <rPr>
        <sz val="10"/>
        <rFont val="Malgun Gothic"/>
        <family val="0"/>
        <charset val="1"/>
      </rPr>
      <t xml:space="preserve">PRI</t>
    </r>
    <r>
      <rPr>
        <sz val="10"/>
        <rFont val="Noto Sans CJK SC"/>
        <family val="2"/>
      </rPr>
      <t xml:space="preserve">인데 </t>
    </r>
    <r>
      <rPr>
        <sz val="10"/>
        <rFont val="Malgun Gothic"/>
        <family val="0"/>
        <charset val="1"/>
      </rPr>
      <t xml:space="preserve">SEC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노즐 고정 폐쇄</t>
    </r>
    <r>
      <rPr>
        <sz val="10"/>
        <rFont val="Malgun Gothic"/>
        <family val="0"/>
        <charset val="1"/>
      </rPr>
      <t xml:space="preserve">, AB </t>
    </r>
    <r>
      <rPr>
        <sz val="10"/>
        <rFont val="Noto Sans CJK SC"/>
        <family val="2"/>
      </rPr>
      <t xml:space="preserve">불가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</si>
  <si>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초음속</t>
    </r>
    <r>
      <rPr>
        <sz val="10"/>
        <rFont val="Malgun Gothic"/>
        <family val="0"/>
        <charset val="1"/>
      </rPr>
      <t xml:space="preserve">) MIL </t>
    </r>
    <r>
      <rPr>
        <sz val="10"/>
        <rFont val="Noto Sans CJK SC"/>
        <family val="2"/>
      </rPr>
      <t xml:space="preserve">유지→아음속 → </t>
    </r>
    <r>
      <rPr>
        <sz val="10"/>
        <rFont val="Malgun Gothic"/>
        <family val="0"/>
        <charset val="1"/>
      </rPr>
      <t xml:space="preserve">IDLE~MIL </t>
    </r>
    <r>
      <rPr>
        <sz val="10"/>
        <rFont val="Noto Sans CJK SC"/>
        <family val="2"/>
      </rPr>
      <t xml:space="preserve">반응 확인 → 정상</t>
    </r>
    <r>
      <rPr>
        <sz val="10"/>
        <rFont val="Malgun Gothic"/>
        <family val="0"/>
        <charset val="1"/>
      </rPr>
      <t xml:space="preserve">: ENG CONT </t>
    </r>
    <r>
      <rPr>
        <sz val="10"/>
        <rFont val="Noto Sans CJK SC"/>
        <family val="2"/>
      </rPr>
      <t xml:space="preserve">사이클 금지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빨리 착륙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비정상</t>
    </r>
    <r>
      <rPr>
        <sz val="10"/>
        <rFont val="Malgun Gothic"/>
        <family val="0"/>
        <charset val="1"/>
      </rPr>
      <t xml:space="preserve">: SEC→PRI </t>
    </r>
    <r>
      <rPr>
        <sz val="10"/>
        <rFont val="Noto Sans CJK SC"/>
        <family val="2"/>
      </rPr>
      <t xml:space="preserve">사이클 → </t>
    </r>
    <r>
      <rPr>
        <sz val="10"/>
        <rFont val="Malgun Gothic"/>
        <family val="0"/>
        <charset val="1"/>
      </rPr>
      <t xml:space="preserve">250kt → </t>
    </r>
    <r>
      <rPr>
        <sz val="10"/>
        <rFont val="Noto Sans CJK SC"/>
        <family val="2"/>
      </rPr>
      <t xml:space="preserve">즉시 착륙 또는 플레임아웃 착륙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OFF, HOOK DN)</t>
    </r>
  </si>
  <si>
    <t xml:space="preserve">3-85/3-87</t>
  </si>
  <si>
    <t xml:space="preserve">E2-23</t>
  </si>
  <si>
    <r>
      <rPr>
        <sz val="10"/>
        <rFont val="Malgun Gothic"/>
        <family val="0"/>
        <charset val="1"/>
      </rPr>
      <t xml:space="preserve">RPM </t>
    </r>
    <r>
      <rPr>
        <sz val="10"/>
        <rFont val="Noto Sans CJK SC"/>
        <family val="2"/>
      </rPr>
      <t xml:space="preserve">지시 </t>
    </r>
    <r>
      <rPr>
        <sz val="10"/>
        <rFont val="Malgun Gothic"/>
        <family val="0"/>
        <charset val="1"/>
      </rPr>
      <t xml:space="preserve">0 </t>
    </r>
    <r>
      <rPr>
        <sz val="10"/>
        <rFont val="Noto Sans CJK SC"/>
        <family val="2"/>
      </rPr>
      <t xml:space="preserve">또는 오지시 </t>
    </r>
    <r>
      <rPr>
        <sz val="10"/>
        <rFont val="Malgun Gothic"/>
        <family val="0"/>
        <charset val="1"/>
      </rPr>
      <t xml:space="preserve">(GE-129)</t>
    </r>
  </si>
  <si>
    <t xml:space="preserve">Zero RPM/Erroneous RPM Indication (GE-129)</t>
  </si>
  <si>
    <r>
      <rPr>
        <sz val="10"/>
        <rFont val="Noto Sans CJK SC"/>
        <family val="2"/>
      </rPr>
      <t xml:space="preserve">다른 엔진 계기</t>
    </r>
    <r>
      <rPr>
        <sz val="10"/>
        <rFont val="Malgun Gothic"/>
        <family val="0"/>
        <charset val="1"/>
      </rPr>
      <t xml:space="preserve">(FTIT, Fuel Flow, Nozzle)</t>
    </r>
    <r>
      <rPr>
        <sz val="10"/>
        <rFont val="Noto Sans CJK SC"/>
        <family val="2"/>
      </rPr>
      <t xml:space="preserve">는 정상인데 </t>
    </r>
    <r>
      <rPr>
        <sz val="10"/>
        <rFont val="Malgun Gothic"/>
        <family val="0"/>
        <charset val="1"/>
      </rPr>
      <t xml:space="preserve">Engine RPM </t>
    </r>
    <r>
      <rPr>
        <sz val="10"/>
        <rFont val="Noto Sans CJK SC"/>
        <family val="2"/>
      </rPr>
      <t xml:space="preserve">지시계가 </t>
    </r>
    <r>
      <rPr>
        <sz val="10"/>
        <rFont val="Malgun Gothic"/>
        <family val="0"/>
        <charset val="1"/>
      </rPr>
      <t xml:space="preserve">0 </t>
    </r>
    <r>
      <rPr>
        <sz val="10"/>
        <rFont val="Noto Sans CJK SC"/>
        <family val="2"/>
      </rPr>
      <t xml:space="preserve">또는 오지시</t>
    </r>
    <r>
      <rPr>
        <sz val="10"/>
        <rFont val="Malgun Gothic"/>
        <family val="0"/>
        <charset val="1"/>
      </rPr>
      <t xml:space="preserve">(ENGINE </t>
    </r>
    <r>
      <rPr>
        <sz val="10"/>
        <rFont val="Noto Sans CJK SC"/>
        <family val="2"/>
      </rPr>
      <t xml:space="preserve">경고등 동반 가능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</si>
  <si>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RPM 0/</t>
    </r>
    <r>
      <rPr>
        <sz val="10"/>
        <rFont val="Noto Sans CJK SC"/>
        <family val="2"/>
      </rPr>
      <t xml:space="preserve">오지시 확인 → </t>
    </r>
    <r>
      <rPr>
        <sz val="10"/>
        <rFont val="Malgun Gothic"/>
        <family val="0"/>
        <charset val="1"/>
      </rPr>
      <t xml:space="preserve">SEC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예</t>
    </r>
    <r>
      <rPr>
        <sz val="10"/>
        <rFont val="Malgun Gothic"/>
        <family val="0"/>
        <charset val="1"/>
      </rPr>
      <t xml:space="preserve">: E2-22 / </t>
    </r>
    <r>
      <rPr>
        <sz val="10"/>
        <rFont val="Noto Sans CJK SC"/>
        <family val="2"/>
      </rPr>
      <t xml:space="preserve">아니오</t>
    </r>
    <r>
      <rPr>
        <sz val="10"/>
        <rFont val="Malgun Gothic"/>
        <family val="0"/>
        <charset val="1"/>
      </rPr>
      <t xml:space="preserve">: FTIT·FF</t>
    </r>
    <r>
      <rPr>
        <sz val="10"/>
        <rFont val="Noto Sans CJK SC"/>
        <family val="2"/>
      </rPr>
      <t xml:space="preserve">로 대체 감시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빨리 착륙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엔진 정지 금지</t>
    </r>
    <r>
      <rPr>
        <sz val="10"/>
        <rFont val="Malgun Gothic"/>
        <family val="0"/>
        <charset val="1"/>
      </rPr>
      <t xml:space="preserve">)</t>
    </r>
  </si>
  <si>
    <t xml:space="preserve">3-87</t>
  </si>
  <si>
    <t xml:space="preserve">E2-24</t>
  </si>
  <si>
    <r>
      <rPr>
        <sz val="10"/>
        <rFont val="Noto Sans CJK SC"/>
        <family val="2"/>
      </rPr>
      <t xml:space="preserve">비정상 엔진 반응 </t>
    </r>
    <r>
      <rPr>
        <sz val="10"/>
        <rFont val="Malgun Gothic"/>
        <family val="0"/>
        <charset val="1"/>
      </rPr>
      <t xml:space="preserve">(GE-129)</t>
    </r>
  </si>
  <si>
    <t xml:space="preserve">Abnormal Engine Response (GE-129)</t>
  </si>
  <si>
    <r>
      <rPr>
        <sz val="10"/>
        <rFont val="Noto Sans CJK SC"/>
        <family val="2"/>
      </rPr>
      <t xml:space="preserve">스로틀 위치 대비 비정상 추력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스로틀 무반응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자동 가감속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엔진 진동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노즐 이상 지시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과열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과속 지시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추력 부족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조류충돌 후 포함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</si>
  <si>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(AB/</t>
    </r>
    <r>
      <rPr>
        <sz val="10"/>
        <rFont val="Noto Sans CJK SC"/>
        <family val="2"/>
      </rPr>
      <t xml:space="preserve">초음속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MIL → ENG CONT SEC → 250kt(</t>
    </r>
    <r>
      <rPr>
        <sz val="10"/>
        <rFont val="Noto Sans CJK SC"/>
        <family val="2"/>
      </rPr>
      <t xml:space="preserve">추력 부족 시</t>
    </r>
    <r>
      <rPr>
        <sz val="10"/>
        <rFont val="Malgun Gothic"/>
        <family val="0"/>
        <charset val="1"/>
      </rPr>
      <t xml:space="preserve">) → IDLE~MIL </t>
    </r>
    <r>
      <rPr>
        <sz val="10"/>
        <rFont val="Noto Sans CJK SC"/>
        <family val="2"/>
      </rPr>
      <t xml:space="preserve">반응 확인 → 착륙 가능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빨리 착륙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부족</t>
    </r>
    <r>
      <rPr>
        <sz val="10"/>
        <rFont val="Malgun Gothic"/>
        <family val="0"/>
        <charset val="1"/>
      </rPr>
      <t xml:space="preserve">: PRI </t>
    </r>
    <r>
      <rPr>
        <sz val="10"/>
        <rFont val="Noto Sans CJK SC"/>
        <family val="2"/>
      </rPr>
      <t xml:space="preserve">복귀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즉시 착륙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과다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플레임아웃 착륙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OFF·HOOK DN)</t>
    </r>
  </si>
  <si>
    <t xml:space="preserve">3-88/3-89</t>
  </si>
  <si>
    <t xml:space="preserve">E2-25</t>
  </si>
  <si>
    <r>
      <rPr>
        <sz val="10"/>
        <rFont val="Noto Sans CJK SC"/>
        <family val="2"/>
      </rPr>
      <t xml:space="preserve">엔진 실속 회복 </t>
    </r>
    <r>
      <rPr>
        <sz val="10"/>
        <rFont val="Malgun Gothic"/>
        <family val="0"/>
        <charset val="1"/>
      </rPr>
      <t xml:space="preserve">(GE-129)</t>
    </r>
  </si>
  <si>
    <t xml:space="preserve">Engine Stall Recovery (GE-129)</t>
  </si>
  <si>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중 큰 굉음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배기구 화염구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비</t>
    </r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상태에서 스로틀 무반응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펑 소리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럼블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진동</t>
    </r>
    <r>
      <rPr>
        <sz val="10"/>
        <rFont val="Malgun Gothic"/>
        <family val="0"/>
        <charset val="1"/>
      </rPr>
      <t xml:space="preserve">·FTIT </t>
    </r>
    <r>
      <rPr>
        <sz val="10"/>
        <rFont val="Noto Sans CJK SC"/>
        <family val="2"/>
      </rPr>
      <t xml:space="preserve">상승 등 압축기 실속 징후</t>
    </r>
  </si>
  <si>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실속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MIL → </t>
    </r>
    <r>
      <rPr>
        <sz val="10"/>
        <rFont val="Noto Sans CJK SC"/>
        <family val="2"/>
      </rPr>
      <t xml:space="preserve">미해소</t>
    </r>
    <r>
      <rPr>
        <sz val="10"/>
        <rFont val="Malgun Gothic"/>
        <family val="0"/>
        <charset val="1"/>
      </rPr>
      <t xml:space="preserve">: IDLE → ENG CONT SEC → OFF </t>
    </r>
    <r>
      <rPr>
        <sz val="10"/>
        <rFont val="Noto Sans CJK SC"/>
        <family val="2"/>
      </rPr>
      <t xml:space="preserve">수 초 후 </t>
    </r>
    <r>
      <rPr>
        <sz val="10"/>
        <rFont val="Malgun Gothic"/>
        <family val="0"/>
        <charset val="1"/>
      </rPr>
      <t xml:space="preserve">AIRSTART → </t>
    </r>
    <r>
      <rPr>
        <sz val="10"/>
        <rFont val="Noto Sans CJK SC"/>
        <family val="2"/>
      </rPr>
      <t xml:space="preserve">해소 후 </t>
    </r>
    <r>
      <rPr>
        <sz val="10"/>
        <rFont val="Malgun Gothic"/>
        <family val="0"/>
        <charset val="1"/>
      </rPr>
      <t xml:space="preserve">MIL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완만 조작 → 즉시 착륙</t>
    </r>
  </si>
  <si>
    <t xml:space="preserve">3-90/3-91</t>
  </si>
  <si>
    <t xml:space="preserve">E2-26</t>
  </si>
  <si>
    <r>
      <rPr>
        <sz val="10"/>
        <rFont val="Noto Sans CJK SC"/>
        <family val="2"/>
      </rPr>
      <t xml:space="preserve">흡입구 버즈 </t>
    </r>
    <r>
      <rPr>
        <sz val="10"/>
        <rFont val="Malgun Gothic"/>
        <family val="0"/>
        <charset val="1"/>
      </rPr>
      <t xml:space="preserve">(GE-129)</t>
    </r>
  </si>
  <si>
    <t xml:space="preserve">Inlet Buzz (GE-129)</t>
  </si>
  <si>
    <r>
      <rPr>
        <sz val="10"/>
        <rFont val="Noto Sans CJK SC"/>
        <family val="2"/>
      </rPr>
      <t xml:space="preserve">초음속 비행 중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엔진 제어 고장</t>
    </r>
    <r>
      <rPr>
        <sz val="10"/>
        <rFont val="Malgun Gothic"/>
        <family val="0"/>
        <charset val="1"/>
      </rPr>
      <t xml:space="preserve">·CADC </t>
    </r>
    <r>
      <rPr>
        <sz val="10"/>
        <rFont val="Noto Sans CJK SC"/>
        <family val="2"/>
      </rPr>
      <t xml:space="preserve">마하신호 고장</t>
    </r>
    <r>
      <rPr>
        <sz val="10"/>
        <rFont val="Malgun Gothic"/>
        <family val="0"/>
        <charset val="1"/>
      </rPr>
      <t xml:space="preserve">·HYB/SEC </t>
    </r>
    <r>
      <rPr>
        <sz val="10"/>
        <rFont val="Noto Sans CJK SC"/>
        <family val="2"/>
      </rPr>
      <t xml:space="preserve">상태에서 </t>
    </r>
    <r>
      <rPr>
        <sz val="10"/>
        <rFont val="Malgun Gothic"/>
        <family val="0"/>
        <charset val="1"/>
      </rPr>
      <t xml:space="preserve">MIL </t>
    </r>
    <r>
      <rPr>
        <sz val="10"/>
        <rFont val="Noto Sans CJK SC"/>
        <family val="2"/>
      </rPr>
      <t xml:space="preserve">이하 감속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조종석 내 중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심한 진동 발생</t>
    </r>
  </si>
  <si>
    <r>
      <rPr>
        <sz val="10"/>
        <rFont val="Noto Sans CJK SC"/>
        <family val="2"/>
      </rPr>
      <t xml:space="preserve">초음속 진동 시 스로틀 고정 → 스피드브레이크</t>
    </r>
    <r>
      <rPr>
        <sz val="10"/>
        <rFont val="Malgun Gothic"/>
        <family val="0"/>
        <charset val="1"/>
      </rPr>
      <t xml:space="preserve">·g</t>
    </r>
    <r>
      <rPr>
        <sz val="10"/>
        <rFont val="Noto Sans CJK SC"/>
        <family val="2"/>
      </rPr>
      <t xml:space="preserve">로 아음속 감속 → 실속 지속 시 </t>
    </r>
    <r>
      <rPr>
        <sz val="10"/>
        <rFont val="Malgun Gothic"/>
        <family val="0"/>
        <charset val="1"/>
      </rPr>
      <t xml:space="preserve">IDLE → </t>
    </r>
    <r>
      <rPr>
        <sz val="10"/>
        <rFont val="Noto Sans CJK SC"/>
        <family val="2"/>
      </rPr>
      <t xml:space="preserve">미해소 시 </t>
    </r>
    <r>
      <rPr>
        <sz val="10"/>
        <rFont val="Malgun Gothic"/>
        <family val="0"/>
        <charset val="1"/>
      </rPr>
      <t xml:space="preserve">OFF→</t>
    </r>
    <r>
      <rPr>
        <sz val="10"/>
        <rFont val="Noto Sans CJK SC"/>
        <family val="2"/>
      </rPr>
      <t xml:space="preserve">중간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재시동</t>
    </r>
    <r>
      <rPr>
        <sz val="10"/>
        <rFont val="Malgun Gothic"/>
        <family val="0"/>
        <charset val="1"/>
      </rPr>
      <t xml:space="preserve">)</t>
    </r>
  </si>
  <si>
    <t xml:space="preserve">3-91</t>
  </si>
  <si>
    <t xml:space="preserve">E2-27</t>
  </si>
  <si>
    <r>
      <rPr>
        <sz val="10"/>
        <rFont val="Noto Sans CJK SC"/>
        <family val="2"/>
      </rPr>
      <t xml:space="preserve">조류 충돌 </t>
    </r>
    <r>
      <rPr>
        <sz val="10"/>
        <rFont val="Malgun Gothic"/>
        <family val="0"/>
        <charset val="1"/>
      </rPr>
      <t xml:space="preserve">(GE-129)</t>
    </r>
  </si>
  <si>
    <t xml:space="preserve">Bird Strike (GE-129)</t>
  </si>
  <si>
    <r>
      <rPr>
        <sz val="10"/>
        <rFont val="Noto Sans CJK SC"/>
        <family val="2"/>
      </rPr>
      <t xml:space="preserve">조류 충돌 발생 또는 의심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충격음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흡입구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캐노피 손상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엔진 계기 이상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</si>
  <si>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조류충돌 → </t>
    </r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금지</t>
    </r>
    <r>
      <rPr>
        <sz val="10"/>
        <rFont val="Malgun Gothic"/>
        <family val="0"/>
        <charset val="1"/>
      </rPr>
      <t xml:space="preserve">(MIL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엔진 계기 확인 → 이상 시 </t>
    </r>
    <r>
      <rPr>
        <sz val="10"/>
        <rFont val="Malgun Gothic"/>
        <family val="0"/>
        <charset val="1"/>
      </rPr>
      <t xml:space="preserve">E2-24</t>
    </r>
  </si>
  <si>
    <t xml:space="preserve">E2-28</t>
  </si>
  <si>
    <r>
      <rPr>
        <sz val="10"/>
        <rFont val="Noto Sans CJK SC"/>
        <family val="2"/>
      </rPr>
      <t xml:space="preserve">엔진 과속 </t>
    </r>
    <r>
      <rPr>
        <sz val="10"/>
        <rFont val="Malgun Gothic"/>
        <family val="0"/>
        <charset val="1"/>
      </rPr>
      <t xml:space="preserve">(GE-129)</t>
    </r>
  </si>
  <si>
    <t xml:space="preserve">Engine Overspeed (GE-129)</t>
  </si>
  <si>
    <r>
      <rPr>
        <sz val="10"/>
        <rFont val="Malgun Gothic"/>
        <family val="0"/>
        <charset val="1"/>
      </rPr>
      <t xml:space="preserve">Engine RPM </t>
    </r>
    <r>
      <rPr>
        <sz val="10"/>
        <rFont val="Noto Sans CJK SC"/>
        <family val="2"/>
      </rPr>
      <t xml:space="preserve">지시 </t>
    </r>
    <r>
      <rPr>
        <sz val="10"/>
        <rFont val="Malgun Gothic"/>
        <family val="0"/>
        <charset val="1"/>
      </rPr>
      <t xml:space="preserve">109.5% </t>
    </r>
    <r>
      <rPr>
        <sz val="10"/>
        <rFont val="Noto Sans CJK SC"/>
        <family val="2"/>
      </rPr>
      <t xml:space="preserve">초과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113% </t>
    </r>
    <r>
      <rPr>
        <sz val="10"/>
        <rFont val="Noto Sans CJK SC"/>
        <family val="2"/>
      </rPr>
      <t xml:space="preserve">도달 후 과속연료차단으로 플레임아웃</t>
    </r>
    <r>
      <rPr>
        <sz val="10"/>
        <rFont val="Malgun Gothic"/>
        <family val="0"/>
        <charset val="1"/>
      </rPr>
      <t xml:space="preserve">(RPM/FTIT </t>
    </r>
    <r>
      <rPr>
        <sz val="10"/>
        <rFont val="Noto Sans CJK SC"/>
        <family val="2"/>
      </rPr>
      <t xml:space="preserve">급감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스로틀 무반응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</si>
  <si>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RPM &gt;109.5% </t>
    </r>
    <r>
      <rPr>
        <sz val="10"/>
        <rFont val="Noto Sans CJK SC"/>
        <family val="2"/>
      </rPr>
      <t xml:space="preserve">감시 → 플레임아웃 시 스로틀 </t>
    </r>
    <r>
      <rPr>
        <sz val="10"/>
        <rFont val="Malgun Gothic"/>
        <family val="0"/>
        <charset val="1"/>
      </rPr>
      <t xml:space="preserve">OFF→</t>
    </r>
    <r>
      <rPr>
        <sz val="10"/>
        <rFont val="Noto Sans CJK SC"/>
        <family val="2"/>
      </rPr>
      <t xml:space="preserve">중간 → </t>
    </r>
    <r>
      <rPr>
        <sz val="10"/>
        <rFont val="Malgun Gothic"/>
        <family val="0"/>
        <charset val="1"/>
      </rPr>
      <t xml:space="preserve">E2-32 </t>
    </r>
    <r>
      <rPr>
        <sz val="10"/>
        <rFont val="Noto Sans CJK SC"/>
        <family val="2"/>
      </rPr>
      <t xml:space="preserve">재시동</t>
    </r>
  </si>
  <si>
    <t xml:space="preserve">E2-29</t>
  </si>
  <si>
    <r>
      <rPr>
        <sz val="10"/>
        <rFont val="Noto Sans CJK SC"/>
        <family val="2"/>
      </rPr>
      <t xml:space="preserve">엔진 실패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정지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플레임아웃</t>
    </r>
    <r>
      <rPr>
        <sz val="10"/>
        <rFont val="Malgun Gothic"/>
        <family val="0"/>
        <charset val="1"/>
      </rPr>
      <t xml:space="preserve">) (GE-129)</t>
    </r>
  </si>
  <si>
    <t xml:space="preserve">Engine Failure or Flameout (GE-129)</t>
  </si>
  <si>
    <r>
      <rPr>
        <sz val="10"/>
        <rFont val="Malgun Gothic"/>
        <family val="0"/>
        <charset val="1"/>
      </rPr>
      <t xml:space="preserve">FTIT </t>
    </r>
    <r>
      <rPr>
        <sz val="10"/>
        <rFont val="Noto Sans CJK SC"/>
        <family val="2"/>
      </rPr>
      <t xml:space="preserve">감소 및 </t>
    </r>
    <r>
      <rPr>
        <sz val="10"/>
        <rFont val="Malgun Gothic"/>
        <family val="0"/>
        <charset val="1"/>
      </rPr>
      <t xml:space="preserve">RPM</t>
    </r>
    <r>
      <rPr>
        <sz val="10"/>
        <rFont val="Noto Sans CJK SC"/>
        <family val="2"/>
      </rPr>
      <t xml:space="preserve">이 비행중 아이들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70%) </t>
    </r>
    <r>
      <rPr>
        <sz val="10"/>
        <rFont val="Noto Sans CJK SC"/>
        <family val="2"/>
      </rPr>
      <t xml:space="preserve">이하로 감소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추력 상실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스로틀 무반응</t>
    </r>
    <r>
      <rPr>
        <sz val="10"/>
        <rFont val="Malgun Gothic"/>
        <family val="0"/>
        <charset val="1"/>
      </rPr>
      <t xml:space="preserve">; RPM 60% </t>
    </r>
    <r>
      <rPr>
        <sz val="10"/>
        <rFont val="Noto Sans CJK SC"/>
        <family val="2"/>
      </rPr>
      <t xml:space="preserve">미만에서 </t>
    </r>
    <r>
      <rPr>
        <sz val="10"/>
        <rFont val="Malgun Gothic"/>
        <family val="0"/>
        <charset val="1"/>
      </rPr>
      <t xml:space="preserve">ENGINE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, 50% </t>
    </r>
    <r>
      <rPr>
        <sz val="10"/>
        <rFont val="Noto Sans CJK SC"/>
        <family val="2"/>
      </rPr>
      <t xml:space="preserve">미만에서 </t>
    </r>
    <r>
      <rPr>
        <sz val="10"/>
        <rFont val="Malgun Gothic"/>
        <family val="0"/>
        <charset val="1"/>
      </rPr>
      <t xml:space="preserve">MAIN GEN/STBY GEN </t>
    </r>
    <r>
      <rPr>
        <sz val="10"/>
        <rFont val="Noto Sans CJK SC"/>
        <family val="2"/>
      </rPr>
      <t xml:space="preserve">점등 및 </t>
    </r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자동 가동</t>
    </r>
  </si>
  <si>
    <r>
      <rPr>
        <sz val="10"/>
        <rFont val="Malgun Gothic"/>
        <family val="0"/>
        <charset val="1"/>
      </rPr>
      <t xml:space="preserve">RPM&lt;70%·FTIT↓·FF↓ → ENGINE/GEN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·EPU RUN </t>
    </r>
    <r>
      <rPr>
        <sz val="10"/>
        <rFont val="Noto Sans CJK SC"/>
        <family val="2"/>
      </rPr>
      <t xml:space="preserve">확인 → 스로틀 </t>
    </r>
    <r>
      <rPr>
        <sz val="10"/>
        <rFont val="Malgun Gothic"/>
        <family val="0"/>
        <charset val="1"/>
      </rPr>
      <t xml:space="preserve">OFF→</t>
    </r>
    <r>
      <rPr>
        <sz val="10"/>
        <rFont val="Noto Sans CJK SC"/>
        <family val="2"/>
      </rPr>
      <t xml:space="preserve">중간 → </t>
    </r>
    <r>
      <rPr>
        <sz val="10"/>
        <rFont val="Malgun Gothic"/>
        <family val="0"/>
        <charset val="1"/>
      </rPr>
      <t xml:space="preserve">JFS START 2(20K ft/400kt </t>
    </r>
    <r>
      <rPr>
        <sz val="10"/>
        <rFont val="Noto Sans CJK SC"/>
        <family val="2"/>
      </rPr>
      <t xml:space="preserve">미만</t>
    </r>
    <r>
      <rPr>
        <sz val="10"/>
        <rFont val="Malgun Gothic"/>
        <family val="0"/>
        <charset val="1"/>
      </rPr>
      <t xml:space="preserve">) → E2-32 </t>
    </r>
    <r>
      <rPr>
        <sz val="10"/>
        <rFont val="Noto Sans CJK SC"/>
        <family val="2"/>
      </rPr>
      <t xml:space="preserve">재시동 </t>
    </r>
    <r>
      <rPr>
        <sz val="10"/>
        <rFont val="Malgun Gothic"/>
        <family val="0"/>
        <charset val="1"/>
      </rPr>
      <t xml:space="preserve">/ RPM </t>
    </r>
    <r>
      <rPr>
        <sz val="10"/>
        <rFont val="Noto Sans CJK SC"/>
        <family val="2"/>
      </rPr>
      <t xml:space="preserve">즉시 </t>
    </r>
    <r>
      <rPr>
        <sz val="10"/>
        <rFont val="Malgun Gothic"/>
        <family val="0"/>
        <charset val="1"/>
      </rPr>
      <t xml:space="preserve">0+SEC </t>
    </r>
    <r>
      <rPr>
        <sz val="10"/>
        <rFont val="Noto Sans CJK SC"/>
        <family val="2"/>
      </rPr>
      <t xml:space="preserve">동시 점등이면 </t>
    </r>
    <r>
      <rPr>
        <sz val="10"/>
        <rFont val="Malgun Gothic"/>
        <family val="0"/>
        <charset val="1"/>
      </rPr>
      <t xml:space="preserve">E2-33 </t>
    </r>
    <r>
      <rPr>
        <sz val="10"/>
        <rFont val="Noto Sans CJK SC"/>
        <family val="2"/>
      </rPr>
      <t xml:space="preserve">플레임아웃 착륙</t>
    </r>
  </si>
  <si>
    <t xml:space="preserve">3-91/3-92</t>
  </si>
  <si>
    <t xml:space="preserve">E2-30</t>
  </si>
  <si>
    <r>
      <rPr>
        <sz val="10"/>
        <rFont val="Noto Sans CJK SC"/>
        <family val="2"/>
      </rPr>
      <t xml:space="preserve">저고도 엔진 실패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정지 </t>
    </r>
    <r>
      <rPr>
        <sz val="10"/>
        <rFont val="Malgun Gothic"/>
        <family val="0"/>
        <charset val="1"/>
      </rPr>
      <t xml:space="preserve">(GE-129)</t>
    </r>
  </si>
  <si>
    <t xml:space="preserve">Low Altitude Engine Failure or Flameout (GE-129)</t>
  </si>
  <si>
    <r>
      <rPr>
        <sz val="10"/>
        <rFont val="Noto Sans CJK SC"/>
        <family val="2"/>
      </rPr>
      <t xml:space="preserve">저고도에서 엔진 정지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추력 상실 발생</t>
    </r>
    <r>
      <rPr>
        <sz val="10"/>
        <rFont val="Malgun Gothic"/>
        <family val="0"/>
        <charset val="1"/>
      </rPr>
      <t xml:space="preserve">(310kt </t>
    </r>
    <r>
      <rPr>
        <sz val="10"/>
        <rFont val="Noto Sans CJK SC"/>
        <family val="2"/>
      </rPr>
      <t xml:space="preserve">이상이면 줌클라임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미만이면 고도 유지 감속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</si>
  <si>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줌클라임</t>
    </r>
    <r>
      <rPr>
        <sz val="10"/>
        <rFont val="Malgun Gothic"/>
        <family val="0"/>
        <charset val="1"/>
      </rPr>
      <t xml:space="preserve">(≥310kt: 3g/30°) → EMER JETT(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고도 허용 시 재시동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OFF→</t>
    </r>
    <r>
      <rPr>
        <sz val="10"/>
        <rFont val="Noto Sans CJK SC"/>
        <family val="2"/>
      </rPr>
      <t xml:space="preserve">중간</t>
    </r>
    <r>
      <rPr>
        <sz val="10"/>
        <rFont val="Malgun Gothic"/>
        <family val="0"/>
        <charset val="1"/>
      </rPr>
      <t xml:space="preserve">·SEC·JFS START 2) / &lt;4000ft AGL </t>
    </r>
    <r>
      <rPr>
        <sz val="10"/>
        <rFont val="Noto Sans CJK SC"/>
        <family val="2"/>
      </rPr>
      <t xml:space="preserve">사출 준비</t>
    </r>
    <r>
      <rPr>
        <sz val="10"/>
        <rFont val="Malgun Gothic"/>
        <family val="0"/>
        <charset val="1"/>
      </rPr>
      <t xml:space="preserve">, ≤2000ft AGL </t>
    </r>
    <r>
      <rPr>
        <sz val="10"/>
        <rFont val="Noto Sans CJK SC"/>
        <family val="2"/>
      </rPr>
      <t xml:space="preserve">즉시 사출</t>
    </r>
  </si>
  <si>
    <t xml:space="preserve">3-92</t>
  </si>
  <si>
    <t xml:space="preserve">E2-31</t>
  </si>
  <si>
    <r>
      <rPr>
        <sz val="10"/>
        <rFont val="Noto Sans CJK SC"/>
        <family val="2"/>
      </rPr>
      <t xml:space="preserve">공중재시동 개관 </t>
    </r>
    <r>
      <rPr>
        <sz val="10"/>
        <rFont val="Malgun Gothic"/>
        <family val="0"/>
        <charset val="1"/>
      </rPr>
      <t xml:space="preserve">(GE-129)</t>
    </r>
  </si>
  <si>
    <t xml:space="preserve">Airstarts (GE-129)</t>
  </si>
  <si>
    <r>
      <rPr>
        <sz val="10"/>
        <rFont val="Noto Sans CJK SC"/>
        <family val="2"/>
      </rPr>
      <t xml:space="preserve">엔진 정지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실속 후 재시동을 결정한 시점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고도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속도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기상 판단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</si>
  <si>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즉시 시작</t>
    </r>
    <r>
      <rPr>
        <sz val="10"/>
        <rFont val="Malgun Gothic"/>
        <family val="0"/>
        <charset val="1"/>
      </rPr>
      <t xml:space="preserve">(RPM </t>
    </r>
    <r>
      <rPr>
        <sz val="10"/>
        <rFont val="Noto Sans CJK SC"/>
        <family val="2"/>
      </rPr>
      <t xml:space="preserve">높을 때</t>
    </r>
    <r>
      <rPr>
        <sz val="10"/>
        <rFont val="Malgun Gothic"/>
        <family val="0"/>
        <charset val="1"/>
      </rPr>
      <t xml:space="preserve">) → 250kt →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OFF→</t>
    </r>
    <r>
      <rPr>
        <sz val="10"/>
        <rFont val="Noto Sans CJK SC"/>
        <family val="2"/>
      </rPr>
      <t xml:space="preserve">정상범위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재</t>
    </r>
    <r>
      <rPr>
        <sz val="10"/>
        <rFont val="Malgun Gothic"/>
        <family val="0"/>
        <charset val="1"/>
      </rPr>
      <t xml:space="preserve">OFF </t>
    </r>
    <r>
      <rPr>
        <sz val="10"/>
        <rFont val="Noto Sans CJK SC"/>
        <family val="2"/>
      </rPr>
      <t xml:space="preserve">금지</t>
    </r>
    <r>
      <rPr>
        <sz val="10"/>
        <rFont val="Malgun Gothic"/>
        <family val="0"/>
        <charset val="1"/>
      </rPr>
      <t xml:space="preserve">) → 50% RPM </t>
    </r>
    <r>
      <rPr>
        <sz val="10"/>
        <rFont val="Noto Sans CJK SC"/>
        <family val="2"/>
      </rPr>
      <t xml:space="preserve">전 미점화 시 </t>
    </r>
    <r>
      <rPr>
        <sz val="10"/>
        <rFont val="Malgun Gothic"/>
        <family val="0"/>
        <charset val="1"/>
      </rPr>
      <t xml:space="preserve">SEC(</t>
    </r>
    <r>
      <rPr>
        <sz val="10"/>
        <rFont val="Noto Sans CJK SC"/>
        <family val="2"/>
      </rPr>
      <t xml:space="preserve">저고도는 즉시</t>
    </r>
    <r>
      <rPr>
        <sz val="10"/>
        <rFont val="Malgun Gothic"/>
        <family val="0"/>
        <charset val="1"/>
      </rPr>
      <t xml:space="preserve">) → JFS START 2(&lt;20K ft/&lt;400kt) → </t>
    </r>
    <r>
      <rPr>
        <sz val="10"/>
        <rFont val="Noto Sans CJK SC"/>
        <family val="2"/>
      </rPr>
      <t xml:space="preserve">고고도는 </t>
    </r>
    <r>
      <rPr>
        <sz val="10"/>
        <rFont val="Malgun Gothic"/>
        <family val="0"/>
        <charset val="1"/>
      </rPr>
      <t xml:space="preserve">30K ft </t>
    </r>
    <r>
      <rPr>
        <sz val="10"/>
        <rFont val="Noto Sans CJK SC"/>
        <family val="2"/>
      </rPr>
      <t xml:space="preserve">이하로 강하</t>
    </r>
  </si>
  <si>
    <t xml:space="preserve">3-92/3-98</t>
  </si>
  <si>
    <t xml:space="preserve">E2-32</t>
  </si>
  <si>
    <r>
      <rPr>
        <sz val="10"/>
        <rFont val="Noto Sans CJK SC"/>
        <family val="2"/>
      </rPr>
      <t xml:space="preserve">공중재시동 절차 </t>
    </r>
    <r>
      <rPr>
        <sz val="10"/>
        <rFont val="Malgun Gothic"/>
        <family val="0"/>
        <charset val="1"/>
      </rPr>
      <t xml:space="preserve">(GE-129)</t>
    </r>
  </si>
  <si>
    <t xml:space="preserve">Airstart Procedures (GE-129)</t>
  </si>
  <si>
    <r>
      <rPr>
        <sz val="10"/>
        <rFont val="Noto Sans CJK SC"/>
        <family val="2"/>
      </rPr>
      <t xml:space="preserve">플레임아웃 확인</t>
    </r>
    <r>
      <rPr>
        <sz val="10"/>
        <rFont val="Malgun Gothic"/>
        <family val="0"/>
        <charset val="1"/>
      </rPr>
      <t xml:space="preserve">(E2-29/E2-30) </t>
    </r>
    <r>
      <rPr>
        <sz val="10"/>
        <rFont val="Noto Sans CJK SC"/>
        <family val="2"/>
      </rPr>
      <t xml:space="preserve">또는 실속 미해소</t>
    </r>
    <r>
      <rPr>
        <sz val="10"/>
        <rFont val="Malgun Gothic"/>
        <family val="0"/>
        <charset val="1"/>
      </rPr>
      <t xml:space="preserve">(E2-25/E2-26)</t>
    </r>
    <r>
      <rPr>
        <sz val="10"/>
        <rFont val="Noto Sans CJK SC"/>
        <family val="2"/>
      </rPr>
      <t xml:space="preserve">로 재시동을 결정한 경우</t>
    </r>
  </si>
  <si>
    <r>
      <rPr>
        <sz val="10"/>
        <rFont val="Malgun Gothic"/>
        <family val="0"/>
        <charset val="1"/>
      </rPr>
      <t xml:space="preserve">ENG FEED NORM → </t>
    </r>
    <r>
      <rPr>
        <sz val="10"/>
        <rFont val="Noto Sans CJK SC"/>
        <family val="2"/>
      </rPr>
      <t xml:space="preserve">스로틀 </t>
    </r>
    <r>
      <rPr>
        <sz val="10"/>
        <rFont val="Malgun Gothic"/>
        <family val="0"/>
        <charset val="1"/>
      </rPr>
      <t xml:space="preserve">OFF→IDLE(</t>
    </r>
    <r>
      <rPr>
        <sz val="10"/>
        <rFont val="Noto Sans CJK SC"/>
        <family val="2"/>
      </rPr>
      <t xml:space="preserve">윈드밀링 </t>
    </r>
    <r>
      <rPr>
        <sz val="10"/>
        <rFont val="Malgun Gothic"/>
        <family val="0"/>
        <charset val="1"/>
      </rPr>
      <t xml:space="preserve">20~25%) → 50% </t>
    </r>
    <r>
      <rPr>
        <sz val="10"/>
        <rFont val="Noto Sans CJK SC"/>
        <family val="2"/>
      </rPr>
      <t xml:space="preserve">전 미점화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저고도 시 </t>
    </r>
    <r>
      <rPr>
        <sz val="10"/>
        <rFont val="Malgun Gothic"/>
        <family val="0"/>
        <charset val="1"/>
      </rPr>
      <t xml:space="preserve">SEC → 250kt → JFS START 2(&lt;20K ft/&lt;400kt) → EMER JETT(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(</t>
    </r>
    <r>
      <rPr>
        <sz val="10"/>
        <rFont val="Noto Sans CJK SC"/>
        <family val="2"/>
      </rPr>
      <t xml:space="preserve">행업 시 </t>
    </r>
    <r>
      <rPr>
        <sz val="10"/>
        <rFont val="Malgun Gothic"/>
        <family val="0"/>
        <charset val="1"/>
      </rPr>
      <t xml:space="preserve">OFF·PRI/SEC </t>
    </r>
    <r>
      <rPr>
        <sz val="10"/>
        <rFont val="Noto Sans CJK SC"/>
        <family val="2"/>
      </rPr>
      <t xml:space="preserve">교차</t>
    </r>
    <r>
      <rPr>
        <sz val="10"/>
        <rFont val="Malgun Gothic"/>
        <family val="0"/>
        <charset val="1"/>
      </rPr>
      <t xml:space="preserve">) → RPM 60%↑ </t>
    </r>
    <r>
      <rPr>
        <sz val="10"/>
        <rFont val="Noto Sans CJK SC"/>
        <family val="2"/>
      </rPr>
      <t xml:space="preserve">정상운용 → </t>
    </r>
    <r>
      <rPr>
        <sz val="10"/>
        <rFont val="Malgun Gothic"/>
        <family val="0"/>
        <charset val="1"/>
      </rPr>
      <t xml:space="preserve">JFS OFF → ELEC CAUTION RESET → EPU OFF→NORM → ADI </t>
    </r>
    <r>
      <rPr>
        <sz val="10"/>
        <rFont val="Noto Sans CJK SC"/>
        <family val="2"/>
      </rPr>
      <t xml:space="preserve">플래그 확인</t>
    </r>
  </si>
  <si>
    <t xml:space="preserve">3-98/3-100</t>
  </si>
  <si>
    <t xml:space="preserve">E2-33</t>
  </si>
  <si>
    <r>
      <rPr>
        <sz val="10"/>
        <rFont val="Noto Sans CJK SC"/>
        <family val="2"/>
      </rPr>
      <t xml:space="preserve">플레임아웃 착륙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개요</t>
    </r>
    <r>
      <rPr>
        <sz val="10"/>
        <rFont val="Malgun Gothic"/>
        <family val="0"/>
        <charset val="1"/>
      </rPr>
      <t xml:space="preserve">)</t>
    </r>
  </si>
  <si>
    <t xml:space="preserve">Flameout Landing (introduction)</t>
  </si>
  <si>
    <r>
      <rPr>
        <sz val="10"/>
        <rFont val="Noto Sans CJK SC"/>
        <family val="2"/>
      </rPr>
      <t xml:space="preserve">재시동 실패 또는 안전 착륙에 부적합한 추력 상태에서 활주로가 활공거리 내에 있고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주간</t>
    </r>
    <r>
      <rPr>
        <sz val="10"/>
        <rFont val="Malgun Gothic"/>
        <family val="0"/>
        <charset val="1"/>
      </rPr>
      <t xml:space="preserve">·VMC·SFO </t>
    </r>
    <r>
      <rPr>
        <sz val="10"/>
        <rFont val="Noto Sans CJK SC"/>
        <family val="2"/>
      </rPr>
      <t xml:space="preserve">숙련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플레임아웃 착륙을 선택하기로 판단한 경우</t>
    </r>
  </si>
  <si>
    <r>
      <rPr>
        <sz val="10"/>
        <rFont val="Noto Sans CJK SC"/>
        <family val="2"/>
      </rPr>
      <t xml:space="preserve">사출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플레임아웃 착륙 판단</t>
    </r>
    <r>
      <rPr>
        <sz val="10"/>
        <rFont val="Malgun Gothic"/>
        <family val="0"/>
        <charset val="1"/>
      </rPr>
      <t xml:space="preserve">(VMC·</t>
    </r>
    <r>
      <rPr>
        <sz val="10"/>
        <rFont val="Noto Sans CJK SC"/>
        <family val="2"/>
      </rPr>
      <t xml:space="preserve">활주로 </t>
    </r>
    <r>
      <rPr>
        <sz val="10"/>
        <rFont val="Malgun Gothic"/>
        <family val="0"/>
        <charset val="1"/>
      </rPr>
      <t xml:space="preserve">8000ft·SFO </t>
    </r>
    <r>
      <rPr>
        <sz val="10"/>
        <rFont val="Noto Sans CJK SC"/>
        <family val="2"/>
      </rPr>
      <t xml:space="preserve">숙련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활주로로 즉시 선회 → </t>
    </r>
    <r>
      <rPr>
        <sz val="10"/>
        <rFont val="Malgun Gothic"/>
        <family val="0"/>
        <charset val="1"/>
      </rPr>
      <t xml:space="preserve">EMER JETT → </t>
    </r>
    <r>
      <rPr>
        <sz val="10"/>
        <rFont val="Noto Sans CJK SC"/>
        <family val="2"/>
      </rPr>
      <t xml:space="preserve">최대항속속도</t>
    </r>
    <r>
      <rPr>
        <sz val="10"/>
        <rFont val="Malgun Gothic"/>
        <family val="0"/>
        <charset val="1"/>
      </rPr>
      <t xml:space="preserve">(200kt + 5kt/1000lb) → EPU </t>
    </r>
    <r>
      <rPr>
        <sz val="10"/>
        <rFont val="Noto Sans CJK SC"/>
        <family val="2"/>
      </rPr>
      <t xml:space="preserve">잔량 감시 → </t>
    </r>
    <r>
      <rPr>
        <sz val="10"/>
        <rFont val="Malgun Gothic"/>
        <family val="0"/>
        <charset val="1"/>
      </rPr>
      <t xml:space="preserve">1/3 </t>
    </r>
    <r>
      <rPr>
        <sz val="10"/>
        <rFont val="Noto Sans CJK SC"/>
        <family val="2"/>
      </rPr>
      <t xml:space="preserve">지점 이내 </t>
    </r>
    <r>
      <rPr>
        <sz val="10"/>
        <rFont val="Malgun Gothic"/>
        <family val="0"/>
        <charset val="1"/>
      </rPr>
      <t xml:space="preserve">AOA 11~13° </t>
    </r>
    <r>
      <rPr>
        <sz val="10"/>
        <rFont val="Noto Sans CJK SC"/>
        <family val="2"/>
      </rPr>
      <t xml:space="preserve">접지</t>
    </r>
  </si>
  <si>
    <t xml:space="preserve">3-100</t>
  </si>
  <si>
    <t xml:space="preserve">E3-01</t>
  </si>
  <si>
    <t xml:space="preserve">플레임아웃 착륙 절차</t>
  </si>
  <si>
    <t xml:space="preserve">Flameout Landing Procedures</t>
  </si>
  <si>
    <r>
      <rPr>
        <sz val="10"/>
        <rFont val="Noto Sans CJK SC"/>
        <family val="2"/>
      </rPr>
      <t xml:space="preserve">공중 엔진 정지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재시동 실패 또는 정지 임박</t>
    </r>
    <r>
      <rPr>
        <sz val="10"/>
        <rFont val="Malgun Gothic"/>
        <family val="0"/>
        <charset val="1"/>
      </rPr>
      <t xml:space="preserve">(ENGINE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, RPM </t>
    </r>
    <r>
      <rPr>
        <sz val="10"/>
        <rFont val="Noto Sans CJK SC"/>
        <family val="2"/>
      </rPr>
      <t xml:space="preserve">감소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이고 적합한 활주로가 활공거리 내에 있어 플레임아웃 착륙을 결정한 경우</t>
    </r>
  </si>
  <si>
    <r>
      <rPr>
        <sz val="10"/>
        <rFont val="Malgun Gothic"/>
        <family val="0"/>
        <charset val="1"/>
      </rPr>
      <t xml:space="preserve">EMER JETT(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200kt </t>
    </r>
    <r>
      <rPr>
        <sz val="10"/>
        <rFont val="Noto Sans CJK SC"/>
        <family val="2"/>
      </rPr>
      <t xml:space="preserve">활공 → </t>
    </r>
    <r>
      <rPr>
        <sz val="10"/>
        <rFont val="Malgun Gothic"/>
        <family val="0"/>
        <charset val="1"/>
      </rPr>
      <t xml:space="preserve">EPU ON → JFS START2(&lt;20k ft/&lt;400kt) → AIR SOURCE RAM → DEFOG FWD → LG DN(2000ft AGL 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) → ALT GEAR(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패턴 </t>
    </r>
    <r>
      <rPr>
        <sz val="10"/>
        <rFont val="Malgun Gothic"/>
        <family val="0"/>
        <charset val="1"/>
      </rPr>
      <t xml:space="preserve">190kt → HOOK DN(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직진 정지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주기 브레이크</t>
    </r>
  </si>
  <si>
    <t xml:space="preserve">3-105~3-107</t>
  </si>
  <si>
    <t xml:space="preserve">E3-02</t>
  </si>
  <si>
    <t xml:space="preserve">선택적 투하</t>
  </si>
  <si>
    <t xml:space="preserve">Selective Jettison</t>
  </si>
  <si>
    <r>
      <rPr>
        <sz val="10"/>
        <rFont val="Noto Sans CJK SC"/>
        <family val="2"/>
      </rPr>
      <t xml:space="preserve">중량 감소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비대칭 해소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연료누설 대응 등으로 특정 스테이션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외부탱크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공대지 무장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만 투하해야 할 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</si>
  <si>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</t>
    </r>
    <r>
      <rPr>
        <sz val="10"/>
        <rFont val="Malgun Gothic"/>
        <family val="0"/>
        <charset val="1"/>
      </rPr>
      <t xml:space="preserve">: GND JETT UP) → MASTER ARM → ST STA ON → DGFT Center → MFD SMS → S-J OSB → </t>
    </r>
    <r>
      <rPr>
        <sz val="10"/>
        <rFont val="Noto Sans CJK SC"/>
        <family val="2"/>
      </rPr>
      <t xml:space="preserve">스토어 선택</t>
    </r>
    <r>
      <rPr>
        <sz val="10"/>
        <rFont val="Malgun Gothic"/>
        <family val="0"/>
        <charset val="1"/>
      </rPr>
      <t xml:space="preserve">(OSB, </t>
    </r>
    <r>
      <rPr>
        <sz val="10"/>
        <rFont val="Noto Sans CJK SC"/>
        <family val="2"/>
      </rPr>
      <t xml:space="preserve">랙은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회</t>
    </r>
    <r>
      <rPr>
        <sz val="10"/>
        <rFont val="Malgun Gothic"/>
        <family val="0"/>
        <charset val="1"/>
      </rPr>
      <t xml:space="preserve">) → WPN REL 1</t>
    </r>
    <r>
      <rPr>
        <sz val="10"/>
        <rFont val="Noto Sans CJK SC"/>
        <family val="2"/>
      </rPr>
      <t xml:space="preserve">초</t>
    </r>
  </si>
  <si>
    <t xml:space="preserve">3-107</t>
  </si>
  <si>
    <t xml:space="preserve">E3-03</t>
  </si>
  <si>
    <t xml:space="preserve">비상 투하</t>
  </si>
  <si>
    <t xml:space="preserve">Emergency Jettison</t>
  </si>
  <si>
    <r>
      <rPr>
        <sz val="10"/>
        <rFont val="Noto Sans CJK SC"/>
        <family val="2"/>
      </rPr>
      <t xml:space="preserve">엔진 정지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이중 유압 고장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조종 곤란 등으로 즉시 중량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항력을 줄여야 할 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공대공 미사일 제외 전량 투하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</si>
  <si>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</t>
    </r>
    <r>
      <rPr>
        <sz val="10"/>
        <rFont val="Malgun Gothic"/>
        <family val="0"/>
        <charset val="1"/>
      </rPr>
      <t xml:space="preserve">: GND JETT UP) → EMER STORES JETTISON 1</t>
    </r>
    <r>
      <rPr>
        <sz val="10"/>
        <rFont val="Noto Sans CJK SC"/>
        <family val="2"/>
      </rPr>
      <t xml:space="preserve">초 → </t>
    </r>
    <r>
      <rPr>
        <sz val="10"/>
        <rFont val="Malgun Gothic"/>
        <family val="0"/>
        <charset val="1"/>
      </rPr>
      <t xml:space="preserve">SMS</t>
    </r>
    <r>
      <rPr>
        <sz val="10"/>
        <rFont val="Noto Sans CJK SC"/>
        <family val="2"/>
      </rPr>
      <t xml:space="preserve">로 잔여 확인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재시도</t>
    </r>
  </si>
  <si>
    <t xml:space="preserve">3-107~3-108</t>
  </si>
  <si>
    <t xml:space="preserve">E3-04</t>
  </si>
  <si>
    <r>
      <rPr>
        <sz val="10"/>
        <rFont val="Noto Sans CJK SC"/>
        <family val="2"/>
      </rPr>
      <t xml:space="preserve">대기자료</t>
    </r>
    <r>
      <rPr>
        <sz val="10"/>
        <rFont val="Malgun Gothic"/>
        <family val="0"/>
        <charset val="1"/>
      </rPr>
      <t xml:space="preserve">(Air Data) </t>
    </r>
    <r>
      <rPr>
        <sz val="10"/>
        <rFont val="Noto Sans CJK SC"/>
        <family val="2"/>
      </rPr>
      <t xml:space="preserve">이상</t>
    </r>
  </si>
  <si>
    <t xml:space="preserve">Air Data Malfunctions</t>
  </si>
  <si>
    <r>
      <rPr>
        <sz val="10"/>
        <rFont val="Malgun Gothic"/>
        <family val="0"/>
        <charset val="1"/>
      </rPr>
      <t xml:space="preserve">FLCS FAULT </t>
    </r>
    <r>
      <rPr>
        <sz val="10"/>
        <rFont val="Noto Sans CJK SC"/>
        <family val="2"/>
      </rPr>
      <t xml:space="preserve">코션 </t>
    </r>
    <r>
      <rPr>
        <sz val="10"/>
        <rFont val="Malgun Gothic"/>
        <family val="0"/>
        <charset val="1"/>
      </rPr>
      <t xml:space="preserve">+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FLCS ADC FAIL(</t>
    </r>
    <r>
      <rPr>
        <sz val="10"/>
        <rFont val="Noto Sans CJK SC"/>
        <family val="2"/>
      </rPr>
      <t xml:space="preserve">단일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+ STBY GAIN PFL(</t>
    </r>
    <r>
      <rPr>
        <sz val="10"/>
        <rFont val="Noto Sans CJK SC"/>
        <family val="2"/>
      </rPr>
      <t xml:space="preserve">이중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HUD/</t>
    </r>
    <r>
      <rPr>
        <sz val="10"/>
        <rFont val="Noto Sans CJK SC"/>
        <family val="2"/>
      </rPr>
      <t xml:space="preserve">속도계 지시 불일치</t>
    </r>
  </si>
  <si>
    <r>
      <rPr>
        <sz val="10"/>
        <rFont val="Malgun Gothic"/>
        <family val="0"/>
        <charset val="1"/>
      </rPr>
      <t xml:space="preserve">1g </t>
    </r>
    <r>
      <rPr>
        <sz val="10"/>
        <rFont val="Noto Sans CJK SC"/>
        <family val="2"/>
      </rPr>
      <t xml:space="preserve">확립 → </t>
    </r>
    <r>
      <rPr>
        <sz val="10"/>
        <rFont val="Malgun Gothic"/>
        <family val="0"/>
        <charset val="1"/>
      </rPr>
      <t xml:space="preserve">PFLD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FLCS RESET → (STBY GAIN) AOA≤12°·240~650kt → FLCS RESET → </t>
    </r>
    <r>
      <rPr>
        <sz val="10"/>
        <rFont val="Noto Sans CJK SC"/>
        <family val="2"/>
      </rPr>
      <t xml:space="preserve">가능한 빨리 착륙</t>
    </r>
    <r>
      <rPr>
        <sz val="10"/>
        <rFont val="Malgun Gothic"/>
        <family val="0"/>
        <charset val="1"/>
      </rPr>
      <t xml:space="preserve">(240kt </t>
    </r>
    <r>
      <rPr>
        <sz val="10"/>
        <rFont val="Noto Sans CJK SC"/>
        <family val="2"/>
      </rPr>
      <t xml:space="preserve">이상 유지</t>
    </r>
    <r>
      <rPr>
        <sz val="10"/>
        <rFont val="Malgun Gothic"/>
        <family val="0"/>
        <charset val="1"/>
      </rPr>
      <t xml:space="preserve">)</t>
    </r>
  </si>
  <si>
    <t xml:space="preserve">3-108~3-109</t>
  </si>
  <si>
    <t xml:space="preserve">E3-05</t>
  </si>
  <si>
    <r>
      <rPr>
        <sz val="10"/>
        <rFont val="Noto Sans CJK SC"/>
        <family val="2"/>
      </rPr>
      <t xml:space="preserve">받음각</t>
    </r>
    <r>
      <rPr>
        <sz val="10"/>
        <rFont val="Malgun Gothic"/>
        <family val="0"/>
        <charset val="1"/>
      </rPr>
      <t xml:space="preserve">(AOA) </t>
    </r>
    <r>
      <rPr>
        <sz val="10"/>
        <rFont val="Noto Sans CJK SC"/>
        <family val="2"/>
      </rPr>
      <t xml:space="preserve">계통 고장</t>
    </r>
  </si>
  <si>
    <t xml:space="preserve">AOA Malfunction</t>
  </si>
  <si>
    <r>
      <rPr>
        <sz val="10"/>
        <rFont val="Malgun Gothic"/>
        <family val="0"/>
        <charset val="1"/>
      </rPr>
      <t xml:space="preserve">FLCS FAULT + PFLD FLCS AOA FAIL(</t>
    </r>
    <r>
      <rPr>
        <sz val="10"/>
        <rFont val="Noto Sans CJK SC"/>
        <family val="2"/>
      </rPr>
      <t xml:space="preserve">단일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+ FLCS AOA WARN(</t>
    </r>
    <r>
      <rPr>
        <sz val="10"/>
        <rFont val="Noto Sans CJK SC"/>
        <family val="2"/>
      </rPr>
      <t xml:space="preserve">이중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AOA </t>
    </r>
    <r>
      <rPr>
        <sz val="10"/>
        <rFont val="Noto Sans CJK SC"/>
        <family val="2"/>
      </rPr>
      <t xml:space="preserve">지시가 속도와 불일치</t>
    </r>
  </si>
  <si>
    <r>
      <rPr>
        <sz val="10"/>
        <rFont val="Malgun Gothic"/>
        <family val="0"/>
        <charset val="1"/>
      </rPr>
      <t xml:space="preserve">1g → FLCS RESET → (</t>
    </r>
    <r>
      <rPr>
        <sz val="10"/>
        <rFont val="Noto Sans CJK SC"/>
        <family val="2"/>
      </rPr>
      <t xml:space="preserve">잔존</t>
    </r>
    <r>
      <rPr>
        <sz val="10"/>
        <rFont val="Malgun Gothic"/>
        <family val="0"/>
        <charset val="1"/>
      </rPr>
      <t xml:space="preserve">) AOA 11° </t>
    </r>
    <r>
      <rPr>
        <sz val="10"/>
        <rFont val="Noto Sans CJK SC"/>
        <family val="2"/>
      </rPr>
      <t xml:space="preserve">제한 착륙 </t>
    </r>
    <r>
      <rPr>
        <sz val="10"/>
        <rFont val="Malgun Gothic"/>
        <family val="0"/>
        <charset val="1"/>
      </rPr>
      <t xml:space="preserve">/ (AOA WARN) 1g → FLCS RESET →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OFF: </t>
    </r>
    <r>
      <rPr>
        <sz val="10"/>
        <rFont val="Noto Sans CJK SC"/>
        <family val="2"/>
      </rPr>
      <t xml:space="preserve">빨리 착륙</t>
    </r>
    <r>
      <rPr>
        <sz val="10"/>
        <rFont val="Malgun Gothic"/>
        <family val="0"/>
        <charset val="1"/>
      </rPr>
      <t xml:space="preserve">, ON: </t>
    </r>
    <r>
      <rPr>
        <sz val="10"/>
        <rFont val="Noto Sans CJK SC"/>
        <family val="2"/>
      </rPr>
      <t xml:space="preserve">즉시 착륙</t>
    </r>
    <r>
      <rPr>
        <sz val="10"/>
        <rFont val="Malgun Gothic"/>
        <family val="0"/>
        <charset val="1"/>
      </rPr>
      <t xml:space="preserve">(AOA≤11°, ~136kt+4kt/1000lb)</t>
    </r>
  </si>
  <si>
    <t xml:space="preserve">3-109~3-110</t>
  </si>
  <si>
    <t xml:space="preserve">E3-06</t>
  </si>
  <si>
    <r>
      <rPr>
        <sz val="10"/>
        <rFont val="Malgun Gothic"/>
        <family val="0"/>
        <charset val="1"/>
      </rPr>
      <t xml:space="preserve">CADC(</t>
    </r>
    <r>
      <rPr>
        <sz val="10"/>
        <rFont val="Noto Sans CJK SC"/>
        <family val="2"/>
      </rPr>
      <t xml:space="preserve">중앙대기자료컴퓨터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</t>
    </r>
  </si>
  <si>
    <t xml:space="preserve">CADC Malfunction</t>
  </si>
  <si>
    <r>
      <rPr>
        <sz val="10"/>
        <rFont val="Malgun Gothic"/>
        <family val="0"/>
        <charset val="1"/>
      </rPr>
      <t xml:space="preserve">CADC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코션 패널</t>
    </r>
    <r>
      <rPr>
        <sz val="10"/>
        <rFont val="Malgun Gothic"/>
        <family val="0"/>
        <charset val="1"/>
      </rPr>
      <t xml:space="preserve">) + </t>
    </r>
    <r>
      <rPr>
        <sz val="10"/>
        <rFont val="Noto Sans CJK SC"/>
        <family val="2"/>
      </rPr>
      <t xml:space="preserve">고도계 </t>
    </r>
    <r>
      <rPr>
        <sz val="10"/>
        <rFont val="Malgun Gothic"/>
        <family val="0"/>
        <charset val="1"/>
      </rPr>
      <t xml:space="preserve">PNEU </t>
    </r>
    <r>
      <rPr>
        <sz val="10"/>
        <rFont val="Noto Sans CJK SC"/>
        <family val="2"/>
      </rPr>
      <t xml:space="preserve">깃발 등 대기자료 이상 징후</t>
    </r>
  </si>
  <si>
    <r>
      <rPr>
        <sz val="10"/>
        <rFont val="Malgun Gothic"/>
        <family val="0"/>
        <charset val="1"/>
      </rPr>
      <t xml:space="preserve">FLCS RESET → CADC</t>
    </r>
    <r>
      <rPr>
        <sz val="10"/>
        <rFont val="Noto Sans CJK SC"/>
        <family val="2"/>
      </rPr>
      <t xml:space="preserve">등 </t>
    </r>
    <r>
      <rPr>
        <sz val="10"/>
        <rFont val="Malgun Gothic"/>
        <family val="0"/>
        <charset val="1"/>
      </rPr>
      <t xml:space="preserve">OFF: </t>
    </r>
    <r>
      <rPr>
        <sz val="10"/>
        <rFont val="Noto Sans CJK SC"/>
        <family val="2"/>
      </rPr>
      <t xml:space="preserve">계속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초음속 시 스로틀 주의</t>
    </r>
    <r>
      <rPr>
        <sz val="10"/>
        <rFont val="Malgun Gothic"/>
        <family val="0"/>
        <charset val="1"/>
      </rPr>
      <t xml:space="preserve">) / ON: AOA↔</t>
    </r>
    <r>
      <rPr>
        <sz val="10"/>
        <rFont val="Noto Sans CJK SC"/>
        <family val="2"/>
      </rPr>
      <t xml:space="preserve">속도 교차확인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고도계 </t>
    </r>
    <r>
      <rPr>
        <sz val="10"/>
        <rFont val="Malgun Gothic"/>
        <family val="0"/>
        <charset val="1"/>
      </rPr>
      <t xml:space="preserve">PNEU → </t>
    </r>
    <r>
      <rPr>
        <sz val="10"/>
        <rFont val="Noto Sans CJK SC"/>
        <family val="2"/>
      </rPr>
      <t xml:space="preserve">가능한 빨리 착륙</t>
    </r>
  </si>
  <si>
    <t xml:space="preserve">3-110</t>
  </si>
  <si>
    <t xml:space="preserve">E3-07</t>
  </si>
  <si>
    <t xml:space="preserve">서보 계통 고장</t>
  </si>
  <si>
    <t xml:space="preserve">Servo Malfunction</t>
  </si>
  <si>
    <r>
      <rPr>
        <sz val="10"/>
        <rFont val="Malgun Gothic"/>
        <family val="0"/>
        <charset val="1"/>
      </rPr>
      <t xml:space="preserve">FLCS FAULT </t>
    </r>
    <r>
      <rPr>
        <sz val="10"/>
        <rFont val="Noto Sans CJK SC"/>
        <family val="2"/>
      </rPr>
      <t xml:space="preserve">코션 </t>
    </r>
    <r>
      <rPr>
        <sz val="10"/>
        <rFont val="Malgun Gothic"/>
        <family val="0"/>
        <charset val="1"/>
      </rPr>
      <t xml:space="preserve">+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ISA LHT/RHT/LF/RF/RUD FAIL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ISA ALL FAIL </t>
    </r>
    <r>
      <rPr>
        <sz val="10"/>
        <rFont val="Noto Sans CJK SC"/>
        <family val="2"/>
      </rPr>
      <t xml:space="preserve">표시</t>
    </r>
  </si>
  <si>
    <r>
      <rPr>
        <sz val="10"/>
        <rFont val="Malgun Gothic"/>
        <family val="0"/>
        <charset val="1"/>
      </rPr>
      <t xml:space="preserve">400kt </t>
    </r>
    <r>
      <rPr>
        <sz val="10"/>
        <rFont val="Noto Sans CJK SC"/>
        <family val="2"/>
      </rPr>
      <t xml:space="preserve">이하 → </t>
    </r>
    <r>
      <rPr>
        <sz val="10"/>
        <rFont val="Malgun Gothic"/>
        <family val="0"/>
        <charset val="1"/>
      </rPr>
      <t xml:space="preserve">HYD A/B </t>
    </r>
    <r>
      <rPr>
        <sz val="10"/>
        <rFont val="Noto Sans CJK SC"/>
        <family val="2"/>
      </rPr>
      <t xml:space="preserve">압력 확인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고장이면 유압 절차</t>
    </r>
    <r>
      <rPr>
        <sz val="10"/>
        <rFont val="Malgun Gothic"/>
        <family val="0"/>
        <charset val="1"/>
      </rPr>
      <t xml:space="preserve">) → FLCS RESET → </t>
    </r>
    <r>
      <rPr>
        <sz val="10"/>
        <rFont val="Noto Sans CJK SC"/>
        <family val="2"/>
      </rPr>
      <t xml:space="preserve">잔존 시 가능한 빨리 착륙</t>
    </r>
  </si>
  <si>
    <t xml:space="preserve">E3-08</t>
  </si>
  <si>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단일 전자계통 고장</t>
    </r>
  </si>
  <si>
    <t xml:space="preserve">FLCS Single Electronic Failure</t>
  </si>
  <si>
    <r>
      <rPr>
        <sz val="10"/>
        <rFont val="Malgun Gothic"/>
        <family val="0"/>
        <charset val="1"/>
      </rPr>
      <t xml:space="preserve">FLCS FAULT </t>
    </r>
    <r>
      <rPr>
        <sz val="10"/>
        <rFont val="Noto Sans CJK SC"/>
        <family val="2"/>
      </rPr>
      <t xml:space="preserve">코션 </t>
    </r>
    <r>
      <rPr>
        <sz val="10"/>
        <rFont val="Malgun Gothic"/>
        <family val="0"/>
        <charset val="1"/>
      </rPr>
      <t xml:space="preserve">+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BRK PWR DEGR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FLCS CCM FAIL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(AOA FAIL/ADC FAIL </t>
    </r>
    <r>
      <rPr>
        <sz val="10"/>
        <rFont val="Noto Sans CJK SC"/>
        <family val="2"/>
      </rPr>
      <t xml:space="preserve">동반 가능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</si>
  <si>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1g·400kt </t>
    </r>
    <r>
      <rPr>
        <sz val="10"/>
        <rFont val="Noto Sans CJK SC"/>
        <family val="2"/>
      </rPr>
      <t xml:space="preserve">이하 → </t>
    </r>
    <r>
      <rPr>
        <sz val="10"/>
        <rFont val="Malgun Gothic"/>
        <family val="0"/>
        <charset val="1"/>
      </rPr>
      <t xml:space="preserve">FLCS RESET → (</t>
    </r>
    <r>
      <rPr>
        <sz val="10"/>
        <rFont val="Noto Sans CJK SC"/>
        <family val="2"/>
      </rPr>
      <t xml:space="preserve">잔존</t>
    </r>
    <r>
      <rPr>
        <sz val="10"/>
        <rFont val="Malgun Gothic"/>
        <family val="0"/>
        <charset val="1"/>
      </rPr>
      <t xml:space="preserve">) FLCS PWR TEST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A/B/C </t>
    </r>
    <r>
      <rPr>
        <sz val="10"/>
        <rFont val="Noto Sans CJK SC"/>
        <family val="2"/>
      </rPr>
      <t xml:space="preserve">등 확인 → 분기 결손 시 </t>
    </r>
    <r>
      <rPr>
        <sz val="10"/>
        <rFont val="Malgun Gothic"/>
        <family val="0"/>
        <charset val="1"/>
      </rPr>
      <t xml:space="preserve">AOA≤11° → BRAKES CHAN 2(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가능한 빨리 착륙</t>
    </r>
  </si>
  <si>
    <t xml:space="preserve">3-111</t>
  </si>
  <si>
    <t xml:space="preserve">E3-09</t>
  </si>
  <si>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이중 전자계통 고장</t>
    </r>
  </si>
  <si>
    <t xml:space="preserve">FLCS Dual Electronic Failure</t>
  </si>
  <si>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아이브로우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점등 </t>
    </r>
    <r>
      <rPr>
        <sz val="10"/>
        <rFont val="Malgun Gothic"/>
        <family val="0"/>
        <charset val="1"/>
      </rPr>
      <t xml:space="preserve">+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FLCS DUAL FAIL </t>
    </r>
    <r>
      <rPr>
        <sz val="10"/>
        <rFont val="Noto Sans CJK SC"/>
        <family val="2"/>
      </rPr>
      <t xml:space="preserve">표시</t>
    </r>
  </si>
  <si>
    <r>
      <rPr>
        <sz val="10"/>
        <rFont val="Malgun Gothic"/>
        <family val="0"/>
        <charset val="1"/>
      </rPr>
      <t xml:space="preserve">1g·400kt </t>
    </r>
    <r>
      <rPr>
        <sz val="10"/>
        <rFont val="Noto Sans CJK SC"/>
        <family val="2"/>
      </rPr>
      <t xml:space="preserve">이하 → </t>
    </r>
    <r>
      <rPr>
        <sz val="10"/>
        <rFont val="Malgun Gothic"/>
        <family val="0"/>
        <charset val="1"/>
      </rPr>
      <t xml:space="preserve">(ADV MODE </t>
    </r>
    <r>
      <rPr>
        <sz val="10"/>
        <rFont val="Noto Sans CJK SC"/>
        <family val="2"/>
      </rPr>
      <t xml:space="preserve">생략</t>
    </r>
    <r>
      <rPr>
        <sz val="10"/>
        <rFont val="Malgun Gothic"/>
        <family val="0"/>
        <charset val="1"/>
      </rPr>
      <t xml:space="preserve">) → FLCS RESET →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/PFL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FLCS PWR TEST </t>
    </r>
    <r>
      <rPr>
        <sz val="10"/>
        <rFont val="Noto Sans CJK SC"/>
        <family val="2"/>
      </rPr>
      <t xml:space="preserve">분기 확인</t>
    </r>
    <r>
      <rPr>
        <sz val="10"/>
        <rFont val="Malgun Gothic"/>
        <family val="0"/>
        <charset val="1"/>
      </rPr>
      <t xml:space="preserve">·AOA≤11° → BRAKES CHAN 2 → </t>
    </r>
    <r>
      <rPr>
        <sz val="10"/>
        <rFont val="Noto Sans CJK SC"/>
        <family val="2"/>
      </rPr>
      <t xml:space="preserve">빨리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즉시 착륙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스트레이트인</t>
    </r>
    <r>
      <rPr>
        <sz val="10"/>
        <rFont val="Malgun Gothic"/>
        <family val="0"/>
        <charset val="1"/>
      </rPr>
      <t xml:space="preserve">)</t>
    </r>
  </si>
  <si>
    <t xml:space="preserve">3-111~3-112</t>
  </si>
  <si>
    <t xml:space="preserve">E3-10</t>
  </si>
  <si>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고온 이상</t>
    </r>
  </si>
  <si>
    <t xml:space="preserve">FLCS Temperature Malfunction</t>
  </si>
  <si>
    <r>
      <rPr>
        <sz val="10"/>
        <rFont val="Malgun Gothic"/>
        <family val="0"/>
        <charset val="1"/>
      </rPr>
      <t xml:space="preserve">FLCS FAULT </t>
    </r>
    <r>
      <rPr>
        <sz val="10"/>
        <rFont val="Noto Sans CJK SC"/>
        <family val="2"/>
      </rPr>
      <t xml:space="preserve">코션 </t>
    </r>
    <r>
      <rPr>
        <sz val="10"/>
        <rFont val="Malgun Gothic"/>
        <family val="0"/>
        <charset val="1"/>
      </rPr>
      <t xml:space="preserve">+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FLCS HOT TEMP </t>
    </r>
    <r>
      <rPr>
        <sz val="10"/>
        <rFont val="Noto Sans CJK SC"/>
        <family val="2"/>
      </rPr>
      <t xml:space="preserve">표시</t>
    </r>
  </si>
  <si>
    <r>
      <rPr>
        <sz val="10"/>
        <rFont val="Malgun Gothic"/>
        <family val="0"/>
        <charset val="1"/>
      </rPr>
      <t xml:space="preserve">400kt </t>
    </r>
    <r>
      <rPr>
        <sz val="10"/>
        <rFont val="Noto Sans CJK SC"/>
        <family val="2"/>
      </rPr>
      <t xml:space="preserve">이하 → </t>
    </r>
    <r>
      <rPr>
        <sz val="10"/>
        <rFont val="Malgun Gothic"/>
        <family val="0"/>
        <charset val="1"/>
      </rPr>
      <t xml:space="preserve">25k ft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가능하면 </t>
    </r>
    <r>
      <rPr>
        <sz val="10"/>
        <rFont val="Malgun Gothic"/>
        <family val="0"/>
        <charset val="1"/>
      </rPr>
      <t xml:space="preserve">15k) → AIR SOURCE RAM → PFL </t>
    </r>
    <r>
      <rPr>
        <sz val="10"/>
        <rFont val="Noto Sans CJK SC"/>
        <family val="2"/>
      </rPr>
      <t xml:space="preserve">소거 대기</t>
    </r>
    <r>
      <rPr>
        <sz val="10"/>
        <rFont val="Malgun Gothic"/>
        <family val="0"/>
        <charset val="1"/>
      </rPr>
      <t xml:space="preserve">(≤15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잔존 시 </t>
    </r>
    <r>
      <rPr>
        <sz val="10"/>
        <rFont val="Malgun Gothic"/>
        <family val="0"/>
        <charset val="1"/>
      </rPr>
      <t xml:space="preserve">A/P </t>
    </r>
    <r>
      <rPr>
        <sz val="10"/>
        <rFont val="Noto Sans CJK SC"/>
        <family val="2"/>
      </rPr>
      <t xml:space="preserve">금지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가능한 빨리 착륙</t>
    </r>
  </si>
  <si>
    <t xml:space="preserve">3-112</t>
  </si>
  <si>
    <t xml:space="preserve">E3-11</t>
  </si>
  <si>
    <t xml:space="preserve">오토파일럿 이상</t>
  </si>
  <si>
    <t xml:space="preserve">Autopilot Malfunctions</t>
  </si>
  <si>
    <r>
      <rPr>
        <sz val="10"/>
        <rFont val="Malgun Gothic"/>
        <family val="0"/>
        <charset val="1"/>
      </rPr>
      <t xml:space="preserve">FLCS FAULT </t>
    </r>
    <r>
      <rPr>
        <sz val="10"/>
        <rFont val="Noto Sans CJK SC"/>
        <family val="2"/>
      </rPr>
      <t xml:space="preserve">코션 </t>
    </r>
    <r>
      <rPr>
        <sz val="10"/>
        <rFont val="Malgun Gothic"/>
        <family val="0"/>
        <charset val="1"/>
      </rPr>
      <t xml:space="preserve">+ PFLD FLCS A/P FAIL(</t>
    </r>
    <r>
      <rPr>
        <sz val="10"/>
        <rFont val="Noto Sans CJK SC"/>
        <family val="2"/>
      </rPr>
      <t xml:space="preserve">자동 해제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A/P DEGR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AOA 15° </t>
    </r>
    <r>
      <rPr>
        <sz val="10"/>
        <rFont val="Noto Sans CJK SC"/>
        <family val="2"/>
      </rPr>
      <t xml:space="preserve">초과 등 해제조건으로 오토파일럿이 풀렸을 때</t>
    </r>
  </si>
  <si>
    <r>
      <rPr>
        <sz val="10"/>
        <rFont val="Malgun Gothic"/>
        <family val="0"/>
        <charset val="1"/>
      </rPr>
      <t xml:space="preserve">AOA≤15°·1g → FLCS RESET → PFL </t>
    </r>
    <r>
      <rPr>
        <sz val="10"/>
        <rFont val="Noto Sans CJK SC"/>
        <family val="2"/>
      </rPr>
      <t xml:space="preserve">소거 시 </t>
    </r>
    <r>
      <rPr>
        <sz val="10"/>
        <rFont val="Malgun Gothic"/>
        <family val="0"/>
        <charset val="1"/>
      </rPr>
      <t xml:space="preserve">A/P </t>
    </r>
    <r>
      <rPr>
        <sz val="10"/>
        <rFont val="Noto Sans CJK SC"/>
        <family val="2"/>
      </rPr>
      <t xml:space="preserve">재관여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잔존 시 </t>
    </r>
    <r>
      <rPr>
        <sz val="10"/>
        <rFont val="Malgun Gothic"/>
        <family val="0"/>
        <charset val="1"/>
      </rPr>
      <t xml:space="preserve">A/P OFF ‖ (DEGR) A/P </t>
    </r>
    <r>
      <rPr>
        <sz val="10"/>
        <rFont val="Noto Sans CJK SC"/>
        <family val="2"/>
      </rPr>
      <t xml:space="preserve">범위 내 기동 → </t>
    </r>
    <r>
      <rPr>
        <sz val="10"/>
        <rFont val="Malgun Gothic"/>
        <family val="0"/>
        <charset val="1"/>
      </rPr>
      <t xml:space="preserve">FLCS RESET → </t>
    </r>
    <r>
      <rPr>
        <sz val="10"/>
        <rFont val="Noto Sans CJK SC"/>
        <family val="2"/>
      </rPr>
      <t xml:space="preserve">잔존 시 </t>
    </r>
    <r>
      <rPr>
        <sz val="10"/>
        <rFont val="Malgun Gothic"/>
        <family val="0"/>
        <charset val="1"/>
      </rPr>
      <t xml:space="preserve">Paddle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A/P OFF</t>
    </r>
  </si>
  <si>
    <t xml:space="preserve">3-112~3-113</t>
  </si>
  <si>
    <t xml:space="preserve">E3-12</t>
  </si>
  <si>
    <r>
      <rPr>
        <sz val="10"/>
        <rFont val="Malgun Gothic"/>
        <family val="0"/>
        <charset val="1"/>
      </rPr>
      <t xml:space="preserve">DBU ON </t>
    </r>
    <r>
      <rPr>
        <sz val="10"/>
        <rFont val="Noto Sans CJK SC"/>
        <family val="2"/>
      </rPr>
      <t xml:space="preserve">경고등</t>
    </r>
  </si>
  <si>
    <t xml:space="preserve">DBU ON Warning Light</t>
  </si>
  <si>
    <r>
      <rPr>
        <sz val="10"/>
        <rFont val="Malgun Gothic"/>
        <family val="0"/>
        <charset val="1"/>
      </rPr>
      <t xml:space="preserve">DBU ON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아이브로우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점등 — 조종사가 </t>
    </r>
    <r>
      <rPr>
        <sz val="10"/>
        <rFont val="Malgun Gothic"/>
        <family val="0"/>
        <charset val="1"/>
      </rPr>
      <t xml:space="preserve">DIGITAL BACKUP </t>
    </r>
    <r>
      <rPr>
        <sz val="10"/>
        <rFont val="Noto Sans CJK SC"/>
        <family val="2"/>
      </rPr>
      <t xml:space="preserve">스위치를 켜지 않았는데 자동 전환된 경우</t>
    </r>
  </si>
  <si>
    <r>
      <rPr>
        <sz val="10"/>
        <rFont val="Malgun Gothic"/>
        <family val="0"/>
        <charset val="1"/>
      </rPr>
      <t xml:space="preserve">1g·</t>
    </r>
    <r>
      <rPr>
        <sz val="10"/>
        <rFont val="Noto Sans CJK SC"/>
        <family val="2"/>
      </rPr>
      <t xml:space="preserve">급조작 금지 → ≤</t>
    </r>
    <r>
      <rPr>
        <sz val="10"/>
        <rFont val="Malgun Gothic"/>
        <family val="0"/>
        <charset val="1"/>
      </rPr>
      <t xml:space="preserve">500kt/0.9M(300kt) → DBU BACKUP→OFF → </t>
    </r>
    <r>
      <rPr>
        <sz val="10"/>
        <rFont val="Noto Sans CJK SC"/>
        <family val="2"/>
      </rPr>
      <t xml:space="preserve">등 </t>
    </r>
    <r>
      <rPr>
        <sz val="10"/>
        <rFont val="Malgun Gothic"/>
        <family val="0"/>
        <charset val="1"/>
      </rPr>
      <t xml:space="preserve">OFF: FLCS RESET·</t>
    </r>
    <r>
      <rPr>
        <sz val="10"/>
        <rFont val="Noto Sans CJK SC"/>
        <family val="2"/>
      </rPr>
      <t xml:space="preserve">빨리 착륙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등 </t>
    </r>
    <r>
      <rPr>
        <sz val="10"/>
        <rFont val="Malgun Gothic"/>
        <family val="0"/>
        <charset val="1"/>
      </rPr>
      <t xml:space="preserve">ON: DBU BACKUP → </t>
    </r>
    <r>
      <rPr>
        <sz val="10"/>
        <rFont val="Noto Sans CJK SC"/>
        <family val="2"/>
      </rPr>
      <t xml:space="preserve">조종성 확인</t>
    </r>
    <r>
      <rPr>
        <sz val="10"/>
        <rFont val="Malgun Gothic"/>
        <family val="0"/>
        <charset val="1"/>
      </rPr>
      <t xml:space="preserve">(LG DN, AOA 11~13°) → FLCS PWR TEST → CHAN 2 → </t>
    </r>
    <r>
      <rPr>
        <sz val="10"/>
        <rFont val="Noto Sans CJK SC"/>
        <family val="2"/>
      </rPr>
      <t xml:space="preserve">즉시 스트레이트인 착륙</t>
    </r>
  </si>
  <si>
    <t xml:space="preserve">3-113</t>
  </si>
  <si>
    <t xml:space="preserve">E3-13</t>
  </si>
  <si>
    <r>
      <rPr>
        <sz val="10"/>
        <rFont val="Malgun Gothic"/>
        <family val="0"/>
        <charset val="1"/>
      </rPr>
      <t xml:space="preserve">TF FAIL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지형추적 실패</t>
    </r>
    <r>
      <rPr>
        <sz val="10"/>
        <rFont val="Malgun Gothic"/>
        <family val="0"/>
        <charset val="1"/>
      </rPr>
      <t xml:space="preserve">)</t>
    </r>
  </si>
  <si>
    <t xml:space="preserve">TF FAIL Warning Light</t>
  </si>
  <si>
    <r>
      <rPr>
        <sz val="10"/>
        <rFont val="Malgun Gothic"/>
        <family val="0"/>
        <charset val="1"/>
      </rPr>
      <t xml:space="preserve">TF FAIL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아이브로우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플라이업 발생</t>
    </r>
    <r>
      <rPr>
        <sz val="10"/>
        <rFont val="Malgun Gothic"/>
        <family val="0"/>
        <charset val="1"/>
      </rPr>
      <t xml:space="preserve">,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SWIM xxx FAIL </t>
    </r>
    <r>
      <rPr>
        <sz val="10"/>
        <rFont val="Noto Sans CJK SC"/>
        <family val="2"/>
      </rPr>
      <t xml:space="preserve">표시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</si>
  <si>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(DCS: TFR 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— </t>
    </r>
    <r>
      <rPr>
        <sz val="10"/>
        <rFont val="Noto Sans CJK SC"/>
        <family val="2"/>
      </rPr>
      <t xml:space="preserve">저고도에서 계기 이상 시 </t>
    </r>
    <r>
      <rPr>
        <sz val="10"/>
        <rFont val="Malgun Gothic"/>
        <family val="0"/>
        <charset val="1"/>
      </rPr>
      <t xml:space="preserve">MEA</t>
    </r>
    <r>
      <rPr>
        <sz val="10"/>
        <rFont val="Noto Sans CJK SC"/>
        <family val="2"/>
      </rPr>
      <t xml:space="preserve">로 상승만 적용</t>
    </r>
  </si>
  <si>
    <t xml:space="preserve">3-113~3-114</t>
  </si>
  <si>
    <t xml:space="preserve">E3-14</t>
  </si>
  <si>
    <r>
      <rPr>
        <sz val="10"/>
        <rFont val="Malgun Gothic"/>
        <family val="0"/>
        <charset val="1"/>
      </rPr>
      <t xml:space="preserve">LEF(</t>
    </r>
    <r>
      <rPr>
        <sz val="10"/>
        <rFont val="Noto Sans CJK SC"/>
        <family val="2"/>
      </rPr>
      <t xml:space="preserve">앞전플랩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대칭</t>
    </r>
    <r>
      <rPr>
        <sz val="10"/>
        <rFont val="Malgun Gothic"/>
        <family val="0"/>
        <charset val="1"/>
      </rPr>
      <t xml:space="preserve">)</t>
    </r>
  </si>
  <si>
    <t xml:space="preserve">LEF Malfunction (Symmetric)</t>
  </si>
  <si>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+ PFLD FLCS LEF LOCK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고기동 시 비정상 버펫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방향안정성 저하로 </t>
    </r>
    <r>
      <rPr>
        <sz val="10"/>
        <rFont val="Malgun Gothic"/>
        <family val="0"/>
        <charset val="1"/>
      </rPr>
      <t xml:space="preserve">LEF </t>
    </r>
    <r>
      <rPr>
        <sz val="10"/>
        <rFont val="Noto Sans CJK SC"/>
        <family val="2"/>
      </rPr>
      <t xml:space="preserve">고장 의심</t>
    </r>
  </si>
  <si>
    <r>
      <rPr>
        <sz val="10"/>
        <rFont val="Malgun Gothic"/>
        <family val="0"/>
        <charset val="1"/>
      </rPr>
      <t xml:space="preserve">AOA≤12°·</t>
    </r>
    <r>
      <rPr>
        <sz val="10"/>
        <rFont val="Noto Sans CJK SC"/>
        <family val="2"/>
      </rPr>
      <t xml:space="preserve">뱅크 변화≤</t>
    </r>
    <r>
      <rPr>
        <sz val="10"/>
        <rFont val="Malgun Gothic"/>
        <family val="0"/>
        <charset val="1"/>
      </rPr>
      <t xml:space="preserve">90° → FLCS RESET → (</t>
    </r>
    <r>
      <rPr>
        <sz val="10"/>
        <rFont val="Noto Sans CJK SC"/>
        <family val="2"/>
      </rPr>
      <t xml:space="preserve">잔존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아음속 → </t>
    </r>
    <r>
      <rPr>
        <sz val="10"/>
        <rFont val="Malgun Gothic"/>
        <family val="0"/>
        <charset val="1"/>
      </rPr>
      <t xml:space="preserve">LG DN </t>
    </r>
    <r>
      <rPr>
        <sz val="10"/>
        <rFont val="Noto Sans CJK SC"/>
        <family val="2"/>
      </rPr>
      <t xml:space="preserve">후 </t>
    </r>
    <r>
      <rPr>
        <sz val="10"/>
        <rFont val="Malgun Gothic"/>
        <family val="0"/>
        <charset val="1"/>
      </rPr>
      <t xml:space="preserve">LE FLAPS LOCK → </t>
    </r>
    <r>
      <rPr>
        <sz val="10"/>
        <rFont val="Noto Sans CJK SC"/>
        <family val="2"/>
      </rPr>
      <t xml:space="preserve">가능한 빨리 착륙 → 정지 시 </t>
    </r>
    <r>
      <rPr>
        <sz val="10"/>
        <rFont val="Malgun Gothic"/>
        <family val="0"/>
        <charset val="1"/>
      </rPr>
      <t xml:space="preserve">RPM 0</t>
    </r>
    <r>
      <rPr>
        <sz val="10"/>
        <rFont val="Noto Sans CJK SC"/>
        <family val="2"/>
      </rPr>
      <t xml:space="preserve">까지 </t>
    </r>
    <r>
      <rPr>
        <sz val="10"/>
        <rFont val="Malgun Gothic"/>
        <family val="0"/>
        <charset val="1"/>
      </rPr>
      <t xml:space="preserve">MAIN PWR </t>
    </r>
    <r>
      <rPr>
        <sz val="10"/>
        <rFont val="Noto Sans CJK SC"/>
        <family val="2"/>
      </rPr>
      <t xml:space="preserve">유지</t>
    </r>
  </si>
  <si>
    <t xml:space="preserve">3-114~3-115</t>
  </si>
  <si>
    <t xml:space="preserve">E3-15</t>
  </si>
  <si>
    <r>
      <rPr>
        <sz val="10"/>
        <rFont val="Malgun Gothic"/>
        <family val="0"/>
        <charset val="1"/>
      </rPr>
      <t xml:space="preserve">LEF(</t>
    </r>
    <r>
      <rPr>
        <sz val="10"/>
        <rFont val="Noto Sans CJK SC"/>
        <family val="2"/>
      </rPr>
      <t xml:space="preserve">앞전플랩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비대칭</t>
    </r>
    <r>
      <rPr>
        <sz val="10"/>
        <rFont val="Malgun Gothic"/>
        <family val="0"/>
        <charset val="1"/>
      </rPr>
      <t xml:space="preserve">)</t>
    </r>
  </si>
  <si>
    <t xml:space="preserve">LEF Malfunction (Asymmetric)</t>
  </si>
  <si>
    <r>
      <rPr>
        <sz val="10"/>
        <rFont val="Malgun Gothic"/>
        <family val="0"/>
        <charset val="1"/>
      </rPr>
      <t xml:space="preserve">PFL/</t>
    </r>
    <r>
      <rPr>
        <sz val="10"/>
        <rFont val="Noto Sans CJK SC"/>
        <family val="2"/>
      </rPr>
      <t xml:space="preserve">경고등 없이 갑작스러운 비지시 롤 발생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시각으로 좌우 </t>
    </r>
    <r>
      <rPr>
        <sz val="10"/>
        <rFont val="Malgun Gothic"/>
        <family val="0"/>
        <charset val="1"/>
      </rPr>
      <t xml:space="preserve">LEF </t>
    </r>
    <r>
      <rPr>
        <sz val="10"/>
        <rFont val="Noto Sans CJK SC"/>
        <family val="2"/>
      </rPr>
      <t xml:space="preserve">위치 불일치 확인</t>
    </r>
  </si>
  <si>
    <r>
      <rPr>
        <sz val="10"/>
        <rFont val="Malgun Gothic"/>
        <family val="0"/>
        <charset val="1"/>
      </rPr>
      <t xml:space="preserve">AOA 6~10° → </t>
    </r>
    <r>
      <rPr>
        <sz val="10"/>
        <rFont val="Noto Sans CJK SC"/>
        <family val="2"/>
      </rPr>
      <t xml:space="preserve">롤 트림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스틱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러더 금지</t>
    </r>
    <r>
      <rPr>
        <sz val="10"/>
        <rFont val="Malgun Gothic"/>
        <family val="0"/>
        <charset val="1"/>
      </rPr>
      <t xml:space="preserve">) → LE FLAPS LOCK → </t>
    </r>
    <r>
      <rPr>
        <sz val="10"/>
        <rFont val="Noto Sans CJK SC"/>
        <family val="2"/>
      </rPr>
      <t xml:space="preserve">무거운 쪽 </t>
    </r>
    <r>
      <rPr>
        <sz val="10"/>
        <rFont val="Malgun Gothic"/>
        <family val="0"/>
        <charset val="1"/>
      </rPr>
      <t xml:space="preserve">S-J → </t>
    </r>
    <r>
      <rPr>
        <sz val="10"/>
        <rFont val="Noto Sans CJK SC"/>
        <family val="2"/>
      </rPr>
      <t xml:space="preserve">연료 경감 → </t>
    </r>
    <r>
      <rPr>
        <sz val="10"/>
        <rFont val="Malgun Gothic"/>
        <family val="0"/>
        <charset val="1"/>
      </rPr>
      <t xml:space="preserve">LG DN </t>
    </r>
    <r>
      <rPr>
        <sz val="10"/>
        <rFont val="Noto Sans CJK SC"/>
        <family val="2"/>
      </rPr>
      <t xml:space="preserve">조종성 확인</t>
    </r>
    <r>
      <rPr>
        <sz val="10"/>
        <rFont val="Malgun Gothic"/>
        <family val="0"/>
        <charset val="1"/>
      </rPr>
      <t xml:space="preserve">(6~8°) → 8° </t>
    </r>
    <r>
      <rPr>
        <sz val="10"/>
        <rFont val="Noto Sans CJK SC"/>
        <family val="2"/>
      </rPr>
      <t xml:space="preserve">스트레이트인 → 접지 즉시 기수 하강 → </t>
    </r>
    <r>
      <rPr>
        <sz val="10"/>
        <rFont val="Malgun Gothic"/>
        <family val="0"/>
        <charset val="1"/>
      </rPr>
      <t xml:space="preserve">HOOK DN(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</t>
    </r>
  </si>
  <si>
    <t xml:space="preserve">3-115~3-116</t>
  </si>
  <si>
    <t xml:space="preserve">E3-16</t>
  </si>
  <si>
    <t xml:space="preserve">스틱 간섭</t>
  </si>
  <si>
    <t xml:space="preserve">Stick Interference</t>
  </si>
  <si>
    <r>
      <rPr>
        <sz val="10"/>
        <rFont val="Noto Sans CJK SC"/>
        <family val="2"/>
      </rPr>
      <t xml:space="preserve">조종사가 입력하지 않은 스틱 명령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특히 우측 롤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이 발생하고 좌석 이동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랩벨트 등 물리적 간섭이 의심될 때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</si>
  <si>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(DCS 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— </t>
    </r>
    <r>
      <rPr>
        <sz val="10"/>
        <rFont val="Noto Sans CJK SC"/>
        <family val="2"/>
      </rPr>
      <t xml:space="preserve">비지시 입력 시 실제 </t>
    </r>
    <r>
      <rPr>
        <sz val="10"/>
        <rFont val="Malgun Gothic"/>
        <family val="0"/>
        <charset val="1"/>
      </rPr>
      <t xml:space="preserve">HOTAS </t>
    </r>
    <r>
      <rPr>
        <sz val="10"/>
        <rFont val="Noto Sans CJK SC"/>
        <family val="2"/>
      </rPr>
      <t xml:space="preserve">축 캘리브레이션 확인</t>
    </r>
  </si>
  <si>
    <t xml:space="preserve">3-116</t>
  </si>
  <si>
    <t xml:space="preserve">E3-17</t>
  </si>
  <si>
    <t xml:space="preserve">트림 이상</t>
  </si>
  <si>
    <t xml:space="preserve">Trim Malfunction</t>
  </si>
  <si>
    <t xml:space="preserve">트림 햇 입력에 반응이 없거나 원하는 자세 유지에 필요한 스틱압이 비정상적으로 증가할 때</t>
  </si>
  <si>
    <r>
      <rPr>
        <sz val="10"/>
        <rFont val="Malgun Gothic"/>
        <family val="0"/>
        <charset val="1"/>
      </rPr>
      <t xml:space="preserve">TRIM/AP DISC → DISC→NORM → (</t>
    </r>
    <r>
      <rPr>
        <sz val="10"/>
        <rFont val="Noto Sans CJK SC"/>
        <family val="2"/>
      </rPr>
      <t xml:space="preserve">미복구</t>
    </r>
    <r>
      <rPr>
        <sz val="10"/>
        <rFont val="Malgun Gothic"/>
        <family val="0"/>
        <charset val="1"/>
      </rPr>
      <t xml:space="preserve">) DISC </t>
    </r>
    <r>
      <rPr>
        <sz val="10"/>
        <rFont val="Noto Sans CJK SC"/>
        <family val="2"/>
      </rPr>
      <t xml:space="preserve">유지 → </t>
    </r>
    <r>
      <rPr>
        <sz val="10"/>
        <rFont val="Malgun Gothic"/>
        <family val="0"/>
        <charset val="1"/>
      </rPr>
      <t xml:space="preserve">ROLL/PITCH TRIM </t>
    </r>
    <r>
      <rPr>
        <sz val="10"/>
        <rFont val="Noto Sans CJK SC"/>
        <family val="2"/>
      </rPr>
      <t xml:space="preserve">휠 수동 조작</t>
    </r>
    <r>
      <rPr>
        <sz val="10"/>
        <rFont val="Malgun Gothic"/>
        <family val="0"/>
        <charset val="1"/>
      </rPr>
      <t xml:space="preserve">(A/P </t>
    </r>
    <r>
      <rPr>
        <sz val="10"/>
        <rFont val="Noto Sans CJK SC"/>
        <family val="2"/>
      </rPr>
      <t xml:space="preserve">불가</t>
    </r>
    <r>
      <rPr>
        <sz val="10"/>
        <rFont val="Malgun Gothic"/>
        <family val="0"/>
        <charset val="1"/>
      </rPr>
      <t xml:space="preserve">)</t>
    </r>
  </si>
  <si>
    <t xml:space="preserve">E3-18</t>
  </si>
  <si>
    <r>
      <rPr>
        <sz val="10"/>
        <rFont val="Noto Sans CJK SC"/>
        <family val="2"/>
      </rPr>
      <t xml:space="preserve">연료관리계통</t>
    </r>
    <r>
      <rPr>
        <sz val="10"/>
        <rFont val="Malgun Gothic"/>
        <family val="0"/>
        <charset val="1"/>
      </rPr>
      <t xml:space="preserve">(FMS) PFL</t>
    </r>
  </si>
  <si>
    <t xml:space="preserve">Fuel Management System PFL</t>
  </si>
  <si>
    <r>
      <rPr>
        <sz val="10"/>
        <rFont val="Malgun Gothic"/>
        <family val="0"/>
        <charset val="1"/>
      </rPr>
      <t xml:space="preserve">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FMS FAIL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연료 기준전압 이상</t>
    </r>
    <r>
      <rPr>
        <sz val="10"/>
        <rFont val="Malgun Gothic"/>
        <family val="0"/>
        <charset val="1"/>
      </rPr>
      <t xml:space="preserve">), BINGO </t>
    </r>
    <r>
      <rPr>
        <sz val="10"/>
        <rFont val="Noto Sans CJK SC"/>
        <family val="2"/>
      </rPr>
      <t xml:space="preserve">경고 또는 연료량 지시가 비정상일 때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</si>
  <si>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(DCS 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— </t>
    </r>
    <r>
      <rPr>
        <sz val="10"/>
        <rFont val="Noto Sans CJK SC"/>
        <family val="2"/>
      </rPr>
      <t xml:space="preserve">연료량계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토탈라이저 교차 감시</t>
    </r>
    <r>
      <rPr>
        <sz val="10"/>
        <rFont val="Malgun Gothic"/>
        <family val="0"/>
        <charset val="1"/>
      </rPr>
      <t xml:space="preserve">, FUEL QTY SEL TEST</t>
    </r>
  </si>
  <si>
    <t xml:space="preserve">3-117</t>
  </si>
  <si>
    <t xml:space="preserve">E3-19</t>
  </si>
  <si>
    <t xml:space="preserve">연료 누설</t>
  </si>
  <si>
    <t xml:space="preserve">Fuel Leak</t>
  </si>
  <si>
    <r>
      <rPr>
        <sz val="10"/>
        <rFont val="Noto Sans CJK SC"/>
        <family val="2"/>
      </rPr>
      <t xml:space="preserve">연료 불균형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예기치 않은 </t>
    </r>
    <r>
      <rPr>
        <sz val="10"/>
        <rFont val="Malgun Gothic"/>
        <family val="0"/>
        <charset val="1"/>
      </rPr>
      <t xml:space="preserve">FWD/AFT FUEL LOW </t>
    </r>
    <r>
      <rPr>
        <sz val="10"/>
        <rFont val="Noto Sans CJK SC"/>
        <family val="2"/>
      </rPr>
      <t xml:space="preserve">코션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비정상적으로 높은 연료흐름</t>
    </r>
    <r>
      <rPr>
        <sz val="10"/>
        <rFont val="Malgun Gothic"/>
        <family val="0"/>
        <charset val="1"/>
      </rPr>
      <t xml:space="preserve">, HUD TRP FUEL </t>
    </r>
    <r>
      <rPr>
        <sz val="10"/>
        <rFont val="Noto Sans CJK SC"/>
        <family val="2"/>
      </rPr>
      <t xml:space="preserve">또는 토탈라이저 급감으로 누설 의심</t>
    </r>
  </si>
  <si>
    <r>
      <rPr>
        <sz val="10"/>
        <rFont val="Malgun Gothic"/>
        <family val="0"/>
        <charset val="1"/>
      </rPr>
      <t xml:space="preserve">AB </t>
    </r>
    <r>
      <rPr>
        <sz val="10"/>
        <rFont val="Noto Sans CJK SC"/>
        <family val="2"/>
      </rPr>
      <t xml:space="preserve">금지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항속 최대화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연료흐름 과다</t>
    </r>
    <r>
      <rPr>
        <sz val="10"/>
        <rFont val="Malgun Gothic"/>
        <family val="0"/>
        <charset val="1"/>
      </rPr>
      <t xml:space="preserve">) ENG FEED OFF·</t>
    </r>
    <r>
      <rPr>
        <sz val="10"/>
        <rFont val="Noto Sans CJK SC"/>
        <family val="2"/>
      </rPr>
      <t xml:space="preserve">즉시 착륙 </t>
    </r>
    <r>
      <rPr>
        <sz val="10"/>
        <rFont val="Malgun Gothic"/>
        <family val="0"/>
        <charset val="1"/>
      </rPr>
      <t xml:space="preserve">/ (</t>
    </r>
    <r>
      <rPr>
        <sz val="10"/>
        <rFont val="Noto Sans CJK SC"/>
        <family val="2"/>
      </rPr>
      <t xml:space="preserve">정상</t>
    </r>
    <r>
      <rPr>
        <sz val="10"/>
        <rFont val="Malgun Gothic"/>
        <family val="0"/>
        <charset val="1"/>
      </rPr>
      <t xml:space="preserve">) ENG FEED NORM → </t>
    </r>
    <r>
      <rPr>
        <sz val="10"/>
        <rFont val="Noto Sans CJK SC"/>
        <family val="2"/>
      </rPr>
      <t xml:space="preserve">전방 누설 시 </t>
    </r>
    <r>
      <rPr>
        <sz val="10"/>
        <rFont val="Malgun Gothic"/>
        <family val="0"/>
        <charset val="1"/>
      </rPr>
      <t xml:space="preserve">FUEL QTY SEL≠NORM → TANK INERTING → (</t>
    </r>
    <r>
      <rPr>
        <sz val="10"/>
        <rFont val="Noto Sans CJK SC"/>
        <family val="2"/>
      </rPr>
      <t xml:space="preserve">외부탱크 無</t>
    </r>
    <r>
      <rPr>
        <sz val="10"/>
        <rFont val="Malgun Gothic"/>
        <family val="0"/>
        <charset val="1"/>
      </rPr>
      <t xml:space="preserve">) AIR REFUEL OPEN → </t>
    </r>
    <r>
      <rPr>
        <sz val="10"/>
        <rFont val="Noto Sans CJK SC"/>
        <family val="2"/>
      </rPr>
      <t xml:space="preserve">즉시 착륙 → 후방 편중 시 </t>
    </r>
    <r>
      <rPr>
        <sz val="10"/>
        <rFont val="Malgun Gothic"/>
        <family val="0"/>
        <charset val="1"/>
      </rPr>
      <t xml:space="preserve">AOA≤15°</t>
    </r>
  </si>
  <si>
    <t xml:space="preserve">3-117~3-118</t>
  </si>
  <si>
    <t xml:space="preserve">E3-20</t>
  </si>
  <si>
    <r>
      <rPr>
        <sz val="10"/>
        <rFont val="Noto Sans CJK SC"/>
        <family val="2"/>
      </rPr>
      <t xml:space="preserve">연료부족</t>
    </r>
    <r>
      <rPr>
        <sz val="10"/>
        <rFont val="Malgun Gothic"/>
        <family val="0"/>
        <charset val="1"/>
      </rPr>
      <t xml:space="preserve">(FUEL LOW)</t>
    </r>
  </si>
  <si>
    <t xml:space="preserve">Fuel Low</t>
  </si>
  <si>
    <r>
      <rPr>
        <sz val="10"/>
        <rFont val="Malgun Gothic"/>
        <family val="0"/>
        <charset val="1"/>
      </rPr>
      <t xml:space="preserve">FWD FUEL LOW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AFT FUEL LOW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리저버 </t>
    </r>
    <r>
      <rPr>
        <sz val="10"/>
        <rFont val="Malgun Gothic"/>
        <family val="0"/>
        <charset val="1"/>
      </rPr>
      <t xml:space="preserve">400lb </t>
    </r>
    <r>
      <rPr>
        <sz val="10"/>
        <rFont val="Noto Sans CJK SC"/>
        <family val="2"/>
      </rPr>
      <t xml:space="preserve">미만 또는 센서 고장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</si>
  <si>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연료흐름 최소</t>
    </r>
    <r>
      <rPr>
        <sz val="10"/>
        <rFont val="Malgun Gothic"/>
        <family val="0"/>
        <charset val="1"/>
      </rPr>
      <t xml:space="preserve">(&lt;6000pph) → ENG FEED NORM → FUEL QTY SEL RSVR → </t>
    </r>
    <r>
      <rPr>
        <sz val="10"/>
        <rFont val="Noto Sans CJK SC"/>
        <family val="2"/>
      </rPr>
      <t xml:space="preserve">저연료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즉시 착륙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누설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트랩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불균형 분기 → 리저버 가득</t>
    </r>
    <r>
      <rPr>
        <sz val="10"/>
        <rFont val="Malgun Gothic"/>
        <family val="0"/>
        <charset val="1"/>
      </rPr>
      <t xml:space="preserve">: QTY SEL TEST → </t>
    </r>
    <r>
      <rPr>
        <sz val="10"/>
        <rFont val="Noto Sans CJK SC"/>
        <family val="2"/>
      </rPr>
      <t xml:space="preserve">불량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즉시 착륙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정상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개별 탱크↔토탈 비교 후 착륙</t>
    </r>
  </si>
  <si>
    <t xml:space="preserve">3-118~3-119</t>
  </si>
  <si>
    <t xml:space="preserve">E3-21</t>
  </si>
  <si>
    <r>
      <rPr>
        <sz val="10"/>
        <rFont val="Noto Sans CJK SC"/>
        <family val="2"/>
      </rPr>
      <t xml:space="preserve">연료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오일 고온 또는 중력급유</t>
    </r>
  </si>
  <si>
    <t xml:space="preserve">Hot Fuel/Oil or Gravity Feed</t>
  </si>
  <si>
    <r>
      <rPr>
        <sz val="10"/>
        <rFont val="Malgun Gothic"/>
        <family val="0"/>
        <charset val="1"/>
      </rPr>
      <t xml:space="preserve">FUEL/OIL HOT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주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보조 발전기 상실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유압 </t>
    </r>
    <r>
      <rPr>
        <sz val="10"/>
        <rFont val="Malgun Gothic"/>
        <family val="0"/>
        <charset val="1"/>
      </rPr>
      <t xml:space="preserve">A </t>
    </r>
    <r>
      <rPr>
        <sz val="10"/>
        <rFont val="Noto Sans CJK SC"/>
        <family val="2"/>
      </rPr>
      <t xml:space="preserve">계통 고장으로 연료펌프가 정지해 중력급유 상태로 판단될 때</t>
    </r>
  </si>
  <si>
    <r>
      <rPr>
        <sz val="10"/>
        <rFont val="Malgun Gothic"/>
        <family val="0"/>
        <charset val="1"/>
      </rPr>
      <t xml:space="preserve">AIR REFUEL CLOSE → TANK INERTING OFF → ≤10k ft·</t>
    </r>
    <r>
      <rPr>
        <sz val="10"/>
        <rFont val="Noto Sans CJK SC"/>
        <family val="2"/>
      </rPr>
      <t xml:space="preserve">기동 최소 → 연료흐름 ≥</t>
    </r>
    <r>
      <rPr>
        <sz val="10"/>
        <rFont val="Malgun Gothic"/>
        <family val="0"/>
        <charset val="1"/>
      </rPr>
      <t xml:space="preserve">4000pph → </t>
    </r>
    <r>
      <rPr>
        <sz val="10"/>
        <rFont val="Noto Sans CJK SC"/>
        <family val="2"/>
      </rPr>
      <t xml:space="preserve">등 </t>
    </r>
    <r>
      <rPr>
        <sz val="10"/>
        <rFont val="Malgun Gothic"/>
        <family val="0"/>
        <charset val="1"/>
      </rPr>
      <t xml:space="preserve">OFF: </t>
    </r>
    <r>
      <rPr>
        <sz val="10"/>
        <rFont val="Noto Sans CJK SC"/>
        <family val="2"/>
      </rPr>
      <t xml:space="preserve">빨리 착륙 </t>
    </r>
    <r>
      <rPr>
        <sz val="10"/>
        <rFont val="Malgun Gothic"/>
        <family val="0"/>
        <charset val="1"/>
      </rPr>
      <t xml:space="preserve">/ ON·</t>
    </r>
    <r>
      <rPr>
        <sz val="10"/>
        <rFont val="Noto Sans CJK SC"/>
        <family val="2"/>
      </rPr>
      <t xml:space="preserve">중력급유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즉시 착륙</t>
    </r>
    <r>
      <rPr>
        <sz val="10"/>
        <rFont val="Malgun Gothic"/>
        <family val="0"/>
        <charset val="1"/>
      </rPr>
      <t xml:space="preserve">(SFO </t>
    </r>
    <r>
      <rPr>
        <sz val="10"/>
        <rFont val="Noto Sans CJK SC"/>
        <family val="2"/>
      </rPr>
      <t xml:space="preserve">고려</t>
    </r>
    <r>
      <rPr>
        <sz val="10"/>
        <rFont val="Malgun Gothic"/>
        <family val="0"/>
        <charset val="1"/>
      </rPr>
      <t xml:space="preserve">)</t>
    </r>
  </si>
  <si>
    <t xml:space="preserve">3-119~3-120</t>
  </si>
  <si>
    <t xml:space="preserve">E3-22</t>
  </si>
  <si>
    <t xml:space="preserve">연료 불균형</t>
  </si>
  <si>
    <t xml:space="preserve">Fuel Imbalance</t>
  </si>
  <si>
    <r>
      <rPr>
        <sz val="10"/>
        <rFont val="Noto Sans CJK SC"/>
        <family val="2"/>
      </rPr>
      <t xml:space="preserve">연료량계 </t>
    </r>
    <r>
      <rPr>
        <sz val="10"/>
        <rFont val="Malgun Gothic"/>
        <family val="0"/>
        <charset val="1"/>
      </rPr>
      <t xml:space="preserve">AL/FR </t>
    </r>
    <r>
      <rPr>
        <sz val="10"/>
        <rFont val="Noto Sans CJK SC"/>
        <family val="2"/>
      </rPr>
      <t xml:space="preserve">포인터 차이가 커져 </t>
    </r>
    <r>
      <rPr>
        <sz val="10"/>
        <rFont val="Malgun Gothic"/>
        <family val="0"/>
        <charset val="1"/>
      </rPr>
      <t xml:space="preserve">AL </t>
    </r>
    <r>
      <rPr>
        <sz val="10"/>
        <rFont val="Noto Sans CJK SC"/>
        <family val="2"/>
      </rPr>
      <t xml:space="preserve">포인터가 적색 영역에 들어가거나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후방 편중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외부탱크 없이 불균형이 발생할 때</t>
    </r>
  </si>
  <si>
    <r>
      <rPr>
        <sz val="10"/>
        <rFont val="Noto Sans CJK SC"/>
        <family val="2"/>
      </rPr>
      <t xml:space="preserve">연료흐름 최소 → 후방 편중 시 </t>
    </r>
    <r>
      <rPr>
        <sz val="10"/>
        <rFont val="Malgun Gothic"/>
        <family val="0"/>
        <charset val="1"/>
      </rPr>
      <t xml:space="preserve">AOA≤15° → </t>
    </r>
    <r>
      <rPr>
        <sz val="10"/>
        <rFont val="Noto Sans CJK SC"/>
        <family val="2"/>
      </rPr>
      <t xml:space="preserve">누설 배제 → </t>
    </r>
    <r>
      <rPr>
        <sz val="10"/>
        <rFont val="Malgun Gothic"/>
        <family val="0"/>
        <charset val="1"/>
      </rPr>
      <t xml:space="preserve">FUEL QTY SEL</t>
    </r>
    <r>
      <rPr>
        <sz val="10"/>
        <rFont val="Noto Sans CJK SC"/>
        <family val="2"/>
      </rPr>
      <t xml:space="preserve">로 탱크별 확인 → </t>
    </r>
    <r>
      <rPr>
        <sz val="10"/>
        <rFont val="Malgun Gothic"/>
        <family val="0"/>
        <charset val="1"/>
      </rPr>
      <t xml:space="preserve">ENG FEED FWD/AFT(</t>
    </r>
    <r>
      <rPr>
        <sz val="10"/>
        <rFont val="Noto Sans CJK SC"/>
        <family val="2"/>
      </rPr>
      <t xml:space="preserve">무거운 쪽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교정 시 </t>
    </r>
    <r>
      <rPr>
        <sz val="10"/>
        <rFont val="Malgun Gothic"/>
        <family val="0"/>
        <charset val="1"/>
      </rPr>
      <t xml:space="preserve">NORM / </t>
    </r>
    <r>
      <rPr>
        <sz val="10"/>
        <rFont val="Noto Sans CJK SC"/>
        <family val="2"/>
      </rPr>
      <t xml:space="preserve">미교정 시 착륙 → 균형 감시</t>
    </r>
  </si>
  <si>
    <t xml:space="preserve">3-120~3-121</t>
  </si>
  <si>
    <t xml:space="preserve">E3-23</t>
  </si>
  <si>
    <t xml:space="preserve">외부연료탱크 연료 트랩</t>
  </si>
  <si>
    <t xml:space="preserve">Trapped External Fuel</t>
  </si>
  <si>
    <r>
      <rPr>
        <sz val="10"/>
        <rFont val="Malgun Gothic"/>
        <family val="0"/>
        <charset val="1"/>
      </rPr>
      <t xml:space="preserve">FUEL QTY SEL EXT WING/EXT CTR </t>
    </r>
    <r>
      <rPr>
        <sz val="10"/>
        <rFont val="Noto Sans CJK SC"/>
        <family val="2"/>
      </rPr>
      <t xml:space="preserve">확인 시 외부탱크 잔량이 줄지 않거나 </t>
    </r>
    <r>
      <rPr>
        <sz val="10"/>
        <rFont val="Malgun Gothic"/>
        <family val="0"/>
        <charset val="1"/>
      </rPr>
      <t xml:space="preserve">HUD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TRP FUEL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동체 연료만 감소</t>
    </r>
  </si>
  <si>
    <r>
      <rPr>
        <sz val="10"/>
        <rFont val="Noto Sans CJK SC"/>
        <family val="2"/>
      </rPr>
      <t xml:space="preserve">연료흐름 최소 → </t>
    </r>
    <r>
      <rPr>
        <sz val="10"/>
        <rFont val="Malgun Gothic"/>
        <family val="0"/>
        <charset val="1"/>
      </rPr>
      <t xml:space="preserve">AIR REFUEL CLOSE → AIR SOURCE NORM/DUMP → TEMP MAN → TANK INERTING ON → EXT FUEL TRANS WING FIRST → ENG FEED NORM → ±2g </t>
    </r>
    <r>
      <rPr>
        <sz val="10"/>
        <rFont val="Noto Sans CJK SC"/>
        <family val="2"/>
      </rPr>
      <t xml:space="preserve">피치 펄스 → </t>
    </r>
    <r>
      <rPr>
        <sz val="10"/>
        <rFont val="Malgun Gothic"/>
        <family val="0"/>
        <charset val="1"/>
      </rPr>
      <t xml:space="preserve">AR OPEN 1</t>
    </r>
    <r>
      <rPr>
        <sz val="10"/>
        <rFont val="Noto Sans CJK SC"/>
        <family val="2"/>
      </rPr>
      <t xml:space="preserve">초→</t>
    </r>
    <r>
      <rPr>
        <sz val="10"/>
        <rFont val="Malgun Gothic"/>
        <family val="0"/>
        <charset val="1"/>
      </rPr>
      <t xml:space="preserve">CLOSE → EXT </t>
    </r>
    <r>
      <rPr>
        <sz val="10"/>
        <rFont val="Noto Sans CJK SC"/>
        <family val="2"/>
      </rPr>
      <t xml:space="preserve">잔량 감시 → 필요시 탱크 </t>
    </r>
    <r>
      <rPr>
        <sz val="10"/>
        <rFont val="Malgun Gothic"/>
        <family val="0"/>
        <charset val="1"/>
      </rPr>
      <t xml:space="preserve">S-J</t>
    </r>
  </si>
  <si>
    <t xml:space="preserve">3-121~3-122</t>
  </si>
  <si>
    <t xml:space="preserve">E3-24</t>
  </si>
  <si>
    <r>
      <rPr>
        <sz val="10"/>
        <rFont val="Malgun Gothic"/>
        <family val="0"/>
        <charset val="1"/>
      </rPr>
      <t xml:space="preserve">CFT(</t>
    </r>
    <r>
      <rPr>
        <sz val="10"/>
        <rFont val="Noto Sans CJK SC"/>
        <family val="2"/>
      </rPr>
      <t xml:space="preserve">보수적합형연료탱크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연료 트랩</t>
    </r>
  </si>
  <si>
    <t xml:space="preserve">Trapped CFT Fuel</t>
  </si>
  <si>
    <r>
      <rPr>
        <sz val="10"/>
        <rFont val="Malgun Gothic"/>
        <family val="0"/>
        <charset val="1"/>
      </rPr>
      <t xml:space="preserve">FUEL QTY SEL INT WING &amp; CFT </t>
    </r>
    <r>
      <rPr>
        <sz val="10"/>
        <rFont val="Noto Sans CJK SC"/>
        <family val="2"/>
      </rPr>
      <t xml:space="preserve">표시 </t>
    </r>
    <r>
      <rPr>
        <sz val="10"/>
        <rFont val="Malgun Gothic"/>
        <family val="0"/>
        <charset val="1"/>
      </rPr>
      <t xml:space="preserve">700lb </t>
    </r>
    <r>
      <rPr>
        <sz val="10"/>
        <rFont val="Noto Sans CJK SC"/>
        <family val="2"/>
      </rPr>
      <t xml:space="preserve">초과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동체 연료 감소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외부탱크 빈 상태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</si>
  <si>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(DCS: CFT </t>
    </r>
    <r>
      <rPr>
        <sz val="10"/>
        <rFont val="Noto Sans CJK SC"/>
        <family val="2"/>
      </rPr>
      <t xml:space="preserve">미장착</t>
    </r>
    <r>
      <rPr>
        <sz val="10"/>
        <rFont val="Malgun Gothic"/>
        <family val="0"/>
        <charset val="1"/>
      </rPr>
      <t xml:space="preserve">)</t>
    </r>
  </si>
  <si>
    <t xml:space="preserve">3-122~3-122.1</t>
  </si>
  <si>
    <t xml:space="preserve">E3-25</t>
  </si>
  <si>
    <r>
      <rPr>
        <sz val="10"/>
        <rFont val="Noto Sans CJK SC"/>
        <family val="2"/>
      </rPr>
      <t xml:space="preserve">유압계통 </t>
    </r>
    <r>
      <rPr>
        <sz val="10"/>
        <rFont val="Malgun Gothic"/>
        <family val="0"/>
        <charset val="1"/>
      </rPr>
      <t xml:space="preserve">A </t>
    </r>
    <r>
      <rPr>
        <sz val="10"/>
        <rFont val="Noto Sans CJK SC"/>
        <family val="2"/>
      </rPr>
      <t xml:space="preserve">고장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단일 유압고장</t>
    </r>
    <r>
      <rPr>
        <sz val="10"/>
        <rFont val="Malgun Gothic"/>
        <family val="0"/>
        <charset val="1"/>
      </rPr>
      <t xml:space="preserve">)</t>
    </r>
  </si>
  <si>
    <t xml:space="preserve">System A Failure (Single Hydraulic Failure)</t>
  </si>
  <si>
    <r>
      <rPr>
        <sz val="10"/>
        <rFont val="Malgun Gothic"/>
        <family val="0"/>
        <charset val="1"/>
      </rPr>
      <t xml:space="preserve">HYD/OIL PRESS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+ FLCS FAULT </t>
    </r>
    <r>
      <rPr>
        <sz val="10"/>
        <rFont val="Noto Sans CJK SC"/>
        <family val="2"/>
      </rPr>
      <t xml:space="preserve">코션 </t>
    </r>
    <r>
      <rPr>
        <sz val="10"/>
        <rFont val="Malgun Gothic"/>
        <family val="0"/>
        <charset val="1"/>
      </rPr>
      <t xml:space="preserve">+ PFLD ISA ALL FAIL, System A HYD PRESS </t>
    </r>
    <r>
      <rPr>
        <sz val="10"/>
        <rFont val="Noto Sans CJK SC"/>
        <family val="2"/>
      </rPr>
      <t xml:space="preserve">지시 </t>
    </r>
    <r>
      <rPr>
        <sz val="10"/>
        <rFont val="Malgun Gothic"/>
        <family val="0"/>
        <charset val="1"/>
      </rPr>
      <t xml:space="preserve">1000psi </t>
    </r>
    <r>
      <rPr>
        <sz val="10"/>
        <rFont val="Noto Sans CJK SC"/>
        <family val="2"/>
      </rPr>
      <t xml:space="preserve">미만</t>
    </r>
  </si>
  <si>
    <r>
      <rPr>
        <sz val="10"/>
        <rFont val="Noto Sans CJK SC"/>
        <family val="2"/>
      </rPr>
      <t xml:space="preserve">부드러운 조작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스트레이트인 계획 → </t>
    </r>
    <r>
      <rPr>
        <sz val="10"/>
        <rFont val="Malgun Gothic"/>
        <family val="0"/>
        <charset val="1"/>
      </rPr>
      <t xml:space="preserve">HYD B </t>
    </r>
    <r>
      <rPr>
        <sz val="10"/>
        <rFont val="Noto Sans CJK SC"/>
        <family val="2"/>
      </rPr>
      <t xml:space="preserve">압력 감시 → 연료 균형 감시</t>
    </r>
    <r>
      <rPr>
        <sz val="10"/>
        <rFont val="Malgun Gothic"/>
        <family val="0"/>
        <charset val="1"/>
      </rPr>
      <t xml:space="preserve">(ENG FEED </t>
    </r>
    <r>
      <rPr>
        <sz val="10"/>
        <rFont val="Noto Sans CJK SC"/>
        <family val="2"/>
      </rPr>
      <t xml:space="preserve">수동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스피드브레이크 없이 접근 </t>
    </r>
    <r>
      <rPr>
        <sz val="10"/>
        <rFont val="Malgun Gothic"/>
        <family val="0"/>
        <charset val="1"/>
      </rPr>
      <t xml:space="preserve">AOA 11°</t>
    </r>
  </si>
  <si>
    <t xml:space="preserve">3-123</t>
  </si>
  <si>
    <t xml:space="preserve">E3-26</t>
  </si>
  <si>
    <r>
      <rPr>
        <sz val="10"/>
        <rFont val="Noto Sans CJK SC"/>
        <family val="2"/>
      </rPr>
      <t xml:space="preserve">유압계통 </t>
    </r>
    <r>
      <rPr>
        <sz val="10"/>
        <rFont val="Malgun Gothic"/>
        <family val="0"/>
        <charset val="1"/>
      </rPr>
      <t xml:space="preserve">B </t>
    </r>
    <r>
      <rPr>
        <sz val="10"/>
        <rFont val="Noto Sans CJK SC"/>
        <family val="2"/>
      </rPr>
      <t xml:space="preserve">고장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단일 유압고장</t>
    </r>
    <r>
      <rPr>
        <sz val="10"/>
        <rFont val="Malgun Gothic"/>
        <family val="0"/>
        <charset val="1"/>
      </rPr>
      <t xml:space="preserve">)</t>
    </r>
  </si>
  <si>
    <t xml:space="preserve">System B Failure (Single Hydraulic Failure)</t>
  </si>
  <si>
    <r>
      <rPr>
        <sz val="10"/>
        <rFont val="Malgun Gothic"/>
        <family val="0"/>
        <charset val="1"/>
      </rPr>
      <t xml:space="preserve">HYD/OIL PRESS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+ System B HYD PRESS </t>
    </r>
    <r>
      <rPr>
        <sz val="10"/>
        <rFont val="Noto Sans CJK SC"/>
        <family val="2"/>
      </rPr>
      <t xml:space="preserve">지시 </t>
    </r>
    <r>
      <rPr>
        <sz val="10"/>
        <rFont val="Malgun Gothic"/>
        <family val="0"/>
        <charset val="1"/>
      </rPr>
      <t xml:space="preserve">1000psi </t>
    </r>
    <r>
      <rPr>
        <sz val="10"/>
        <rFont val="Noto Sans CJK SC"/>
        <family val="2"/>
      </rPr>
      <t xml:space="preserve">미만 또는 변동</t>
    </r>
    <r>
      <rPr>
        <sz val="10"/>
        <rFont val="Malgun Gothic"/>
        <family val="0"/>
        <charset val="1"/>
      </rPr>
      <t xml:space="preserve">, PFLD ISA ALL FAIL</t>
    </r>
  </si>
  <si>
    <r>
      <rPr>
        <sz val="10"/>
        <rFont val="Noto Sans CJK SC"/>
        <family val="2"/>
      </rPr>
      <t xml:space="preserve">스트레이트인 계획</t>
    </r>
    <r>
      <rPr>
        <sz val="10"/>
        <rFont val="Malgun Gothic"/>
        <family val="0"/>
        <charset val="1"/>
      </rPr>
      <t xml:space="preserve">·EPU RUN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ALT GEAR </t>
    </r>
    <r>
      <rPr>
        <sz val="10"/>
        <rFont val="Noto Sans CJK SC"/>
        <family val="2"/>
      </rPr>
      <t xml:space="preserve">당김</t>
    </r>
    <r>
      <rPr>
        <sz val="10"/>
        <rFont val="Malgun Gothic"/>
        <family val="0"/>
        <charset val="1"/>
      </rPr>
      <t xml:space="preserve">(≤190kt) → LG </t>
    </r>
    <r>
      <rPr>
        <sz val="10"/>
        <rFont val="Noto Sans CJK SC"/>
        <family val="2"/>
      </rPr>
      <t xml:space="preserve">핸들 </t>
    </r>
    <r>
      <rPr>
        <sz val="10"/>
        <rFont val="Malgun Gothic"/>
        <family val="0"/>
        <charset val="1"/>
      </rPr>
      <t xml:space="preserve">DN(</t>
    </r>
    <r>
      <rPr>
        <sz val="10"/>
        <rFont val="Noto Sans CJK SC"/>
        <family val="2"/>
      </rPr>
      <t xml:space="preserve">불가 시 </t>
    </r>
    <r>
      <rPr>
        <sz val="10"/>
        <rFont val="Malgun Gothic"/>
        <family val="0"/>
        <charset val="1"/>
      </rPr>
      <t xml:space="preserve">CHAN 2·ALT FLAPS EXTEND) → HOOK DN(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직진 정지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주기 브레이크</t>
    </r>
    <r>
      <rPr>
        <sz val="10"/>
        <rFont val="Malgun Gothic"/>
        <family val="0"/>
        <charset val="1"/>
      </rPr>
      <t xml:space="preserve">(NWS </t>
    </r>
    <r>
      <rPr>
        <sz val="10"/>
        <rFont val="Noto Sans CJK SC"/>
        <family val="2"/>
      </rPr>
      <t xml:space="preserve">불가</t>
    </r>
    <r>
      <rPr>
        <sz val="10"/>
        <rFont val="Malgun Gothic"/>
        <family val="0"/>
        <charset val="1"/>
      </rPr>
      <t xml:space="preserve">)</t>
    </r>
  </si>
  <si>
    <t xml:space="preserve">3-123~3-124</t>
  </si>
  <si>
    <t xml:space="preserve">E3-27</t>
  </si>
  <si>
    <t xml:space="preserve">이중 유압계통 고장</t>
  </si>
  <si>
    <t xml:space="preserve">Dual Hydraulic Failure</t>
  </si>
  <si>
    <r>
      <rPr>
        <sz val="10"/>
        <rFont val="Noto Sans CJK SC"/>
        <family val="2"/>
      </rPr>
      <t xml:space="preserve">조종 반응 둔화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무반응</t>
    </r>
    <r>
      <rPr>
        <sz val="10"/>
        <rFont val="Malgun Gothic"/>
        <family val="0"/>
        <charset val="1"/>
      </rPr>
      <t xml:space="preserve">, A·B HYD PRESS </t>
    </r>
    <r>
      <rPr>
        <sz val="10"/>
        <rFont val="Noto Sans CJK SC"/>
        <family val="2"/>
      </rPr>
      <t xml:space="preserve">모두 하강</t>
    </r>
    <r>
      <rPr>
        <sz val="10"/>
        <rFont val="Malgun Gothic"/>
        <family val="0"/>
        <charset val="1"/>
      </rPr>
      <t xml:space="preserve">, HYD/OIL PRESS </t>
    </r>
    <r>
      <rPr>
        <sz val="10"/>
        <rFont val="Noto Sans CJK SC"/>
        <family val="2"/>
      </rPr>
      <t xml:space="preserve">경고등 및 </t>
    </r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관련 경고</t>
    </r>
  </si>
  <si>
    <r>
      <rPr>
        <sz val="10"/>
        <rFont val="Malgun Gothic"/>
        <family val="0"/>
        <charset val="1"/>
      </rPr>
      <t xml:space="preserve">EPU ON → HYD A </t>
    </r>
    <r>
      <rPr>
        <sz val="10"/>
        <rFont val="Noto Sans CJK SC"/>
        <family val="2"/>
      </rPr>
      <t xml:space="preserve">상승 확인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무반응 시 사출</t>
    </r>
    <r>
      <rPr>
        <sz val="10"/>
        <rFont val="Malgun Gothic"/>
        <family val="0"/>
        <charset val="1"/>
      </rPr>
      <t xml:space="preserve">) → EPU RUN </t>
    </r>
    <r>
      <rPr>
        <sz val="10"/>
        <rFont val="Noto Sans CJK SC"/>
        <family val="2"/>
      </rPr>
      <t xml:space="preserve">확인 → 즉시 스트레이트인</t>
    </r>
    <r>
      <rPr>
        <sz val="10"/>
        <rFont val="Malgun Gothic"/>
        <family val="0"/>
        <charset val="1"/>
      </rPr>
      <t xml:space="preserve">(EPU </t>
    </r>
    <r>
      <rPr>
        <sz val="10"/>
        <rFont val="Noto Sans CJK SC"/>
        <family val="2"/>
      </rPr>
      <t xml:space="preserve">잔량 감시</t>
    </r>
    <r>
      <rPr>
        <sz val="10"/>
        <rFont val="Malgun Gothic"/>
        <family val="0"/>
        <charset val="1"/>
      </rPr>
      <t xml:space="preserve">) → ALT GEAR → LG DN → HOOK DN(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직진 정지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주기 브레이크</t>
    </r>
  </si>
  <si>
    <t xml:space="preserve">3-124~3-125</t>
  </si>
  <si>
    <t xml:space="preserve">E3-28</t>
  </si>
  <si>
    <r>
      <rPr>
        <sz val="10"/>
        <rFont val="Malgun Gothic"/>
        <family val="0"/>
        <charset val="1"/>
      </rPr>
      <t xml:space="preserve">B</t>
    </r>
    <r>
      <rPr>
        <sz val="10"/>
        <rFont val="Noto Sans CJK SC"/>
        <family val="2"/>
      </rPr>
      <t xml:space="preserve">계통 및 발전기 고장 </t>
    </r>
    <r>
      <rPr>
        <sz val="10"/>
        <rFont val="Malgun Gothic"/>
        <family val="0"/>
        <charset val="1"/>
      </rPr>
      <t xml:space="preserve">(PTO </t>
    </r>
    <r>
      <rPr>
        <sz val="10"/>
        <rFont val="Noto Sans CJK SC"/>
        <family val="2"/>
      </rPr>
      <t xml:space="preserve">샤프트 고장</t>
    </r>
    <r>
      <rPr>
        <sz val="10"/>
        <rFont val="Malgun Gothic"/>
        <family val="0"/>
        <charset val="1"/>
      </rPr>
      <t xml:space="preserve">)</t>
    </r>
  </si>
  <si>
    <t xml:space="preserve">System B and Generator Failure (PTO Shaft)</t>
  </si>
  <si>
    <r>
      <rPr>
        <sz val="10"/>
        <rFont val="Malgun Gothic"/>
        <family val="0"/>
        <charset val="1"/>
      </rPr>
      <t xml:space="preserve">HYD/OIL PRESS </t>
    </r>
    <r>
      <rPr>
        <sz val="10"/>
        <rFont val="Noto Sans CJK SC"/>
        <family val="2"/>
      </rPr>
      <t xml:space="preserve">경고등 </t>
    </r>
    <r>
      <rPr>
        <sz val="10"/>
        <rFont val="Malgun Gothic"/>
        <family val="0"/>
        <charset val="1"/>
      </rPr>
      <t xml:space="preserve">+ B </t>
    </r>
    <r>
      <rPr>
        <sz val="10"/>
        <rFont val="Noto Sans CJK SC"/>
        <family val="2"/>
      </rPr>
      <t xml:space="preserve">계통 압력 하강 </t>
    </r>
    <r>
      <rPr>
        <sz val="10"/>
        <rFont val="Malgun Gothic"/>
        <family val="0"/>
        <charset val="1"/>
      </rPr>
      <t xml:space="preserve">+ MAIN GEN/STBY GEN/FLCS PMG </t>
    </r>
    <r>
      <rPr>
        <sz val="10"/>
        <rFont val="Noto Sans CJK SC"/>
        <family val="2"/>
      </rPr>
      <t xml:space="preserve">등 점등 </t>
    </r>
    <r>
      <rPr>
        <sz val="10"/>
        <rFont val="Malgun Gothic"/>
        <family val="0"/>
        <charset val="1"/>
      </rPr>
      <t xml:space="preserve">+ ELEC SYS </t>
    </r>
    <r>
      <rPr>
        <sz val="10"/>
        <rFont val="Noto Sans CJK SC"/>
        <family val="2"/>
      </rPr>
      <t xml:space="preserve">코션이 동시에 발생</t>
    </r>
  </si>
  <si>
    <r>
      <rPr>
        <sz val="10"/>
        <rFont val="Malgun Gothic"/>
        <family val="0"/>
        <charset val="1"/>
      </rPr>
      <t xml:space="preserve">EPU ON(</t>
    </r>
    <r>
      <rPr>
        <sz val="10"/>
        <rFont val="Noto Sans CJK SC"/>
        <family val="2"/>
      </rPr>
      <t xml:space="preserve">무반응 시 사출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스로틀 유지 → </t>
    </r>
    <r>
      <rPr>
        <sz val="10"/>
        <rFont val="Malgun Gothic"/>
        <family val="0"/>
        <charset val="1"/>
      </rPr>
      <t xml:space="preserve">ADI </t>
    </r>
    <r>
      <rPr>
        <sz val="10"/>
        <rFont val="Noto Sans CJK SC"/>
        <family val="2"/>
      </rPr>
      <t xml:space="preserve">깃발 확인</t>
    </r>
    <r>
      <rPr>
        <sz val="10"/>
        <rFont val="Malgun Gothic"/>
        <family val="0"/>
        <charset val="1"/>
      </rPr>
      <t xml:space="preserve">(→EGI/INS </t>
    </r>
    <r>
      <rPr>
        <sz val="10"/>
        <rFont val="Noto Sans CJK SC"/>
        <family val="2"/>
      </rPr>
      <t xml:space="preserve">절차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연료 균형 → </t>
    </r>
    <r>
      <rPr>
        <sz val="10"/>
        <rFont val="Malgun Gothic"/>
        <family val="0"/>
        <charset val="1"/>
      </rPr>
      <t xml:space="preserve">EPU RUN@IDLE → </t>
    </r>
    <r>
      <rPr>
        <sz val="10"/>
        <rFont val="Noto Sans CJK SC"/>
        <family val="2"/>
      </rPr>
      <t xml:space="preserve">즉시 스트레이트인 → </t>
    </r>
    <r>
      <rPr>
        <sz val="10"/>
        <rFont val="Malgun Gothic"/>
        <family val="0"/>
        <charset val="1"/>
      </rPr>
      <t xml:space="preserve">ALT GEAR → LG DN → HOOK(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직진 정지 → </t>
    </r>
    <r>
      <rPr>
        <sz val="10"/>
        <rFont val="Malgun Gothic"/>
        <family val="0"/>
        <charset val="1"/>
      </rPr>
      <t xml:space="preserve">EPU OFF</t>
    </r>
  </si>
  <si>
    <t xml:space="preserve">3-125~3-126</t>
  </si>
  <si>
    <t xml:space="preserve">E3-29</t>
  </si>
  <si>
    <r>
      <rPr>
        <sz val="10"/>
        <rFont val="Malgun Gothic"/>
        <family val="0"/>
        <charset val="1"/>
      </rPr>
      <t xml:space="preserve">EGI(</t>
    </r>
    <r>
      <rPr>
        <sz val="10"/>
        <rFont val="Noto Sans CJK SC"/>
        <family val="2"/>
      </rPr>
      <t xml:space="preserve">내장</t>
    </r>
    <r>
      <rPr>
        <sz val="10"/>
        <rFont val="Malgun Gothic"/>
        <family val="0"/>
        <charset val="1"/>
      </rPr>
      <t xml:space="preserve">GPS/</t>
    </r>
    <r>
      <rPr>
        <sz val="10"/>
        <rFont val="Noto Sans CJK SC"/>
        <family val="2"/>
      </rPr>
      <t xml:space="preserve">관성항법장치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</t>
    </r>
  </si>
  <si>
    <t xml:space="preserve">EGI Failure</t>
  </si>
  <si>
    <r>
      <rPr>
        <sz val="10"/>
        <rFont val="Malgun Gothic"/>
        <family val="0"/>
        <charset val="1"/>
      </rPr>
      <t xml:space="preserve">ADI OFF/AUX </t>
    </r>
    <r>
      <rPr>
        <sz val="10"/>
        <rFont val="Noto Sans CJK SC"/>
        <family val="2"/>
      </rPr>
      <t xml:space="preserve">깃발 표시</t>
    </r>
    <r>
      <rPr>
        <sz val="10"/>
        <rFont val="Malgun Gothic"/>
        <family val="0"/>
        <charset val="1"/>
      </rPr>
      <t xml:space="preserve">, HSI </t>
    </r>
    <r>
      <rPr>
        <sz val="10"/>
        <rFont val="Noto Sans CJK SC"/>
        <family val="2"/>
      </rPr>
      <t xml:space="preserve">자료 소실</t>
    </r>
    <r>
      <rPr>
        <sz val="10"/>
        <rFont val="Malgun Gothic"/>
        <family val="0"/>
        <charset val="1"/>
      </rPr>
      <t xml:space="preserve">, HUD </t>
    </r>
    <r>
      <rPr>
        <sz val="10"/>
        <rFont val="Noto Sans CJK SC"/>
        <family val="2"/>
      </rPr>
      <t xml:space="preserve">피치래더</t>
    </r>
    <r>
      <rPr>
        <sz val="10"/>
        <rFont val="Malgun Gothic"/>
        <family val="0"/>
        <charset val="1"/>
      </rPr>
      <t xml:space="preserve">·FPM </t>
    </r>
    <r>
      <rPr>
        <sz val="10"/>
        <rFont val="Noto Sans CJK SC"/>
        <family val="2"/>
      </rPr>
      <t xml:space="preserve">소거</t>
    </r>
    <r>
      <rPr>
        <sz val="10"/>
        <rFont val="Malgun Gothic"/>
        <family val="0"/>
        <charset val="1"/>
      </rPr>
      <t xml:space="preserve">, EGI/INS </t>
    </r>
    <r>
      <rPr>
        <sz val="10"/>
        <rFont val="Noto Sans CJK SC"/>
        <family val="2"/>
      </rPr>
      <t xml:space="preserve">관련 </t>
    </r>
    <r>
      <rPr>
        <sz val="10"/>
        <rFont val="Malgun Gothic"/>
        <family val="0"/>
        <charset val="1"/>
      </rPr>
      <t xml:space="preserve">PFL</t>
    </r>
  </si>
  <si>
    <r>
      <rPr>
        <sz val="10"/>
        <rFont val="Malgun Gothic"/>
        <family val="0"/>
        <charset val="1"/>
      </rPr>
      <t xml:space="preserve">A/P OFF → INS OFF 10</t>
    </r>
    <r>
      <rPr>
        <sz val="10"/>
        <rFont val="Noto Sans CJK SC"/>
        <family val="2"/>
      </rPr>
      <t xml:space="preserve">초 → 직진 수평 → </t>
    </r>
    <r>
      <rPr>
        <sz val="10"/>
        <rFont val="Malgun Gothic"/>
        <family val="0"/>
        <charset val="1"/>
      </rPr>
      <t xml:space="preserve">IN FLT ALIGN → ALIGN·AUX </t>
    </r>
    <r>
      <rPr>
        <sz val="10"/>
        <rFont val="Noto Sans CJK SC"/>
        <family val="2"/>
      </rPr>
      <t xml:space="preserve">깃발 소거까지 유지 → </t>
    </r>
    <r>
      <rPr>
        <sz val="10"/>
        <rFont val="Malgun Gothic"/>
        <family val="0"/>
        <charset val="1"/>
      </rPr>
      <t xml:space="preserve">RDY </t>
    </r>
    <r>
      <rPr>
        <sz val="10"/>
        <rFont val="Noto Sans CJK SC"/>
        <family val="2"/>
      </rPr>
      <t xml:space="preserve">소거 후 </t>
    </r>
    <r>
      <rPr>
        <sz val="10"/>
        <rFont val="Malgun Gothic"/>
        <family val="0"/>
        <charset val="1"/>
      </rPr>
      <t xml:space="preserve">NAV → ADI/HUD/HSI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실패</t>
    </r>
    <r>
      <rPr>
        <sz val="10"/>
        <rFont val="Malgun Gothic"/>
        <family val="0"/>
        <charset val="1"/>
      </rPr>
      <t xml:space="preserve">) INS OFF 15</t>
    </r>
    <r>
      <rPr>
        <sz val="10"/>
        <rFont val="Noto Sans CJK SC"/>
        <family val="2"/>
      </rPr>
      <t xml:space="preserve">초 → </t>
    </r>
    <r>
      <rPr>
        <sz val="10"/>
        <rFont val="Malgun Gothic"/>
        <family val="0"/>
        <charset val="1"/>
      </rPr>
      <t xml:space="preserve">ATT → OFF </t>
    </r>
    <r>
      <rPr>
        <sz val="10"/>
        <rFont val="Noto Sans CJK SC"/>
        <family val="2"/>
      </rPr>
      <t xml:space="preserve">깃발 소거 → 자세 확인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나침반으로 방위</t>
    </r>
  </si>
  <si>
    <t xml:space="preserve">3-126~3-127</t>
  </si>
  <si>
    <t xml:space="preserve">E3-30</t>
  </si>
  <si>
    <r>
      <rPr>
        <sz val="10"/>
        <rFont val="Malgun Gothic"/>
        <family val="0"/>
        <charset val="1"/>
      </rPr>
      <t xml:space="preserve">INS(</t>
    </r>
    <r>
      <rPr>
        <sz val="10"/>
        <rFont val="Noto Sans CJK SC"/>
        <family val="2"/>
      </rPr>
      <t xml:space="preserve">관성항법장치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완전고장</t>
    </r>
  </si>
  <si>
    <t xml:space="preserve">Total INS Failure</t>
  </si>
  <si>
    <r>
      <rPr>
        <sz val="10"/>
        <rFont val="Malgun Gothic"/>
        <family val="0"/>
        <charset val="1"/>
      </rPr>
      <t xml:space="preserve">PFLD INS BUS FAIL, ADI </t>
    </r>
    <r>
      <rPr>
        <sz val="10"/>
        <rFont val="Noto Sans CJK SC"/>
        <family val="2"/>
      </rPr>
      <t xml:space="preserve">정지 </t>
    </r>
    <r>
      <rPr>
        <sz val="10"/>
        <rFont val="Malgun Gothic"/>
        <family val="0"/>
        <charset val="1"/>
      </rPr>
      <t xml:space="preserve">+ OFF/AUX </t>
    </r>
    <r>
      <rPr>
        <sz val="10"/>
        <rFont val="Noto Sans CJK SC"/>
        <family val="2"/>
      </rPr>
      <t xml:space="preserve">깃발</t>
    </r>
    <r>
      <rPr>
        <sz val="10"/>
        <rFont val="Malgun Gothic"/>
        <family val="0"/>
        <charset val="1"/>
      </rPr>
      <t xml:space="preserve">, EHSI </t>
    </r>
    <r>
      <rPr>
        <sz val="10"/>
        <rFont val="Noto Sans CJK SC"/>
        <family val="2"/>
      </rPr>
      <t xml:space="preserve">나침반 정지</t>
    </r>
    <r>
      <rPr>
        <sz val="10"/>
        <rFont val="Malgun Gothic"/>
        <family val="0"/>
        <charset val="1"/>
      </rPr>
      <t xml:space="preserve">, HUD </t>
    </r>
    <r>
      <rPr>
        <sz val="10"/>
        <rFont val="Noto Sans CJK SC"/>
        <family val="2"/>
      </rPr>
      <t xml:space="preserve">피치래더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방위</t>
    </r>
    <r>
      <rPr>
        <sz val="10"/>
        <rFont val="Malgun Gothic"/>
        <family val="0"/>
        <charset val="1"/>
      </rPr>
      <t xml:space="preserve">·FPM </t>
    </r>
    <r>
      <rPr>
        <sz val="10"/>
        <rFont val="Noto Sans CJK SC"/>
        <family val="2"/>
      </rPr>
      <t xml:space="preserve">소거</t>
    </r>
  </si>
  <si>
    <r>
      <rPr>
        <sz val="10"/>
        <rFont val="Malgun Gothic"/>
        <family val="0"/>
        <charset val="1"/>
      </rPr>
      <t xml:space="preserve">SAI </t>
    </r>
    <r>
      <rPr>
        <sz val="10"/>
        <rFont val="Noto Sans CJK SC"/>
        <family val="2"/>
      </rPr>
      <t xml:space="preserve">자세 유지 → </t>
    </r>
    <r>
      <rPr>
        <sz val="10"/>
        <rFont val="Malgun Gothic"/>
        <family val="0"/>
        <charset val="1"/>
      </rPr>
      <t xml:space="preserve">INS OFF 10</t>
    </r>
    <r>
      <rPr>
        <sz val="10"/>
        <rFont val="Noto Sans CJK SC"/>
        <family val="2"/>
      </rPr>
      <t xml:space="preserve">초 → 직진 수평 → </t>
    </r>
    <r>
      <rPr>
        <sz val="10"/>
        <rFont val="Malgun Gothic"/>
        <family val="0"/>
        <charset val="1"/>
      </rPr>
      <t xml:space="preserve">IN FLT ALIGN → OFF </t>
    </r>
    <r>
      <rPr>
        <sz val="10"/>
        <rFont val="Noto Sans CJK SC"/>
        <family val="2"/>
      </rPr>
      <t xml:space="preserve">깃발 소거 → 정렬</t>
    </r>
    <r>
      <rPr>
        <sz val="10"/>
        <rFont val="Malgun Gothic"/>
        <family val="0"/>
        <charset val="1"/>
      </rPr>
      <t xml:space="preserve">(FPM </t>
    </r>
    <r>
      <rPr>
        <sz val="10"/>
        <rFont val="Noto Sans CJK SC"/>
        <family val="2"/>
      </rPr>
      <t xml:space="preserve">복귀까지 수직기동 금지</t>
    </r>
    <r>
      <rPr>
        <sz val="10"/>
        <rFont val="Malgun Gothic"/>
        <family val="0"/>
        <charset val="1"/>
      </rPr>
      <t xml:space="preserve">) → NAV / (</t>
    </r>
    <r>
      <rPr>
        <sz val="10"/>
        <rFont val="Noto Sans CJK SC"/>
        <family val="2"/>
      </rPr>
      <t xml:space="preserve">실패</t>
    </r>
    <r>
      <rPr>
        <sz val="10"/>
        <rFont val="Malgun Gothic"/>
        <family val="0"/>
        <charset val="1"/>
      </rPr>
      <t xml:space="preserve">) OFF 15</t>
    </r>
    <r>
      <rPr>
        <sz val="10"/>
        <rFont val="Noto Sans CJK SC"/>
        <family val="2"/>
      </rPr>
      <t xml:space="preserve">초 → </t>
    </r>
    <r>
      <rPr>
        <sz val="10"/>
        <rFont val="Malgun Gothic"/>
        <family val="0"/>
        <charset val="1"/>
      </rPr>
      <t xml:space="preserve">ATT → </t>
    </r>
    <r>
      <rPr>
        <sz val="10"/>
        <rFont val="Noto Sans CJK SC"/>
        <family val="2"/>
      </rPr>
      <t xml:space="preserve">자세 확인 → </t>
    </r>
    <r>
      <rPr>
        <sz val="10"/>
        <rFont val="Malgun Gothic"/>
        <family val="0"/>
        <charset val="1"/>
      </rPr>
      <t xml:space="preserve">EHSI TCN·</t>
    </r>
    <r>
      <rPr>
        <sz val="10"/>
        <rFont val="Noto Sans CJK SC"/>
        <family val="2"/>
      </rPr>
      <t xml:space="preserve">나침반으로 항법</t>
    </r>
  </si>
  <si>
    <t xml:space="preserve">3-128</t>
  </si>
  <si>
    <t xml:space="preserve">E3-31</t>
  </si>
  <si>
    <r>
      <rPr>
        <sz val="10"/>
        <rFont val="Noto Sans CJK SC"/>
        <family val="2"/>
      </rPr>
      <t xml:space="preserve">조종불능 회복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딥스톨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스핀</t>
    </r>
    <r>
      <rPr>
        <sz val="10"/>
        <rFont val="Malgun Gothic"/>
        <family val="0"/>
        <charset val="1"/>
      </rPr>
      <t xml:space="preserve">)</t>
    </r>
  </si>
  <si>
    <t xml:space="preserve">Out-of-Control Recovery</t>
  </si>
  <si>
    <r>
      <rPr>
        <sz val="10"/>
        <rFont val="Noto Sans CJK SC"/>
        <family val="2"/>
      </rPr>
      <t xml:space="preserve">저속 경고음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조종 입력에 무반응</t>
    </r>
    <r>
      <rPr>
        <sz val="10"/>
        <rFont val="Malgun Gothic"/>
        <family val="0"/>
        <charset val="1"/>
      </rPr>
      <t xml:space="preserve">, AOA +32°(</t>
    </r>
    <r>
      <rPr>
        <sz val="10"/>
        <rFont val="Noto Sans CJK SC"/>
        <family val="2"/>
      </rPr>
      <t xml:space="preserve">정립 딥스톨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-5°(</t>
    </r>
    <r>
      <rPr>
        <sz val="10"/>
        <rFont val="Noto Sans CJK SC"/>
        <family val="2"/>
      </rPr>
      <t xml:space="preserve">배면 딥스톨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지속적 요레이트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스핀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</si>
  <si>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조종간 놓음 → 스로틀 </t>
    </r>
    <r>
      <rPr>
        <sz val="10"/>
        <rFont val="Malgun Gothic"/>
        <family val="0"/>
        <charset val="1"/>
      </rPr>
      <t xml:space="preserve">IDLE → (</t>
    </r>
    <r>
      <rPr>
        <sz val="10"/>
        <rFont val="Noto Sans CJK SC"/>
        <family val="2"/>
      </rPr>
      <t xml:space="preserve">지속</t>
    </r>
    <r>
      <rPr>
        <sz val="10"/>
        <rFont val="Malgun Gothic"/>
        <family val="0"/>
        <charset val="1"/>
      </rPr>
      <t xml:space="preserve">) MPO OVRD </t>
    </r>
    <r>
      <rPr>
        <sz val="10"/>
        <rFont val="Noto Sans CJK SC"/>
        <family val="2"/>
      </rPr>
      <t xml:space="preserve">홀드 → 스틱 동위상 로킹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스핀은 요레이트 감소 대기</t>
    </r>
    <r>
      <rPr>
        <sz val="10"/>
        <rFont val="Malgun Gothic"/>
        <family val="0"/>
        <charset val="1"/>
      </rPr>
      <t xml:space="preserve">) → AOA -5~+25°·≥200kt </t>
    </r>
    <r>
      <rPr>
        <sz val="10"/>
        <rFont val="Noto Sans CJK SC"/>
        <family val="2"/>
      </rPr>
      <t xml:space="preserve">확인 후 </t>
    </r>
    <r>
      <rPr>
        <sz val="10"/>
        <rFont val="Malgun Gothic"/>
        <family val="0"/>
        <charset val="1"/>
      </rPr>
      <t xml:space="preserve">MPO </t>
    </r>
    <r>
      <rPr>
        <sz val="10"/>
        <rFont val="Noto Sans CJK SC"/>
        <family val="2"/>
      </rPr>
      <t xml:space="preserve">해제 → </t>
    </r>
    <r>
      <rPr>
        <sz val="10"/>
        <rFont val="Malgun Gothic"/>
        <family val="0"/>
        <charset val="1"/>
      </rPr>
      <t xml:space="preserve">6000ft AGL </t>
    </r>
    <r>
      <rPr>
        <sz val="10"/>
        <rFont val="Noto Sans CJK SC"/>
        <family val="2"/>
      </rPr>
      <t xml:space="preserve">미회복 시 사출</t>
    </r>
  </si>
  <si>
    <t xml:space="preserve">3-129~3-130</t>
  </si>
  <si>
    <t xml:space="preserve">E3-32</t>
  </si>
  <si>
    <t xml:space="preserve">산소계통 이상</t>
  </si>
  <si>
    <t xml:space="preserve">Oxygen Malfunction</t>
  </si>
  <si>
    <r>
      <rPr>
        <sz val="10"/>
        <rFont val="Malgun Gothic"/>
        <family val="0"/>
        <charset val="1"/>
      </rPr>
      <t xml:space="preserve">OXY LOW </t>
    </r>
    <r>
      <rPr>
        <sz val="10"/>
        <rFont val="Noto Sans CJK SC"/>
        <family val="2"/>
      </rPr>
      <t xml:space="preserve">주의등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산소량 </t>
    </r>
    <r>
      <rPr>
        <sz val="10"/>
        <rFont val="Malgun Gothic"/>
        <family val="0"/>
        <charset val="1"/>
      </rPr>
      <t xml:space="preserve">0.5L </t>
    </r>
    <r>
      <rPr>
        <sz val="10"/>
        <rFont val="Noto Sans CJK SC"/>
        <family val="2"/>
      </rPr>
      <t xml:space="preserve">미만 또는 압력 </t>
    </r>
    <r>
      <rPr>
        <sz val="10"/>
        <rFont val="Malgun Gothic"/>
        <family val="0"/>
        <charset val="1"/>
      </rPr>
      <t xml:space="preserve">42psi </t>
    </r>
    <r>
      <rPr>
        <sz val="10"/>
        <rFont val="Noto Sans CJK SC"/>
        <family val="2"/>
      </rPr>
      <t xml:space="preserve">미만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</si>
  <si>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(DCS: LOX </t>
    </r>
    <r>
      <rPr>
        <sz val="10"/>
        <rFont val="Noto Sans CJK SC"/>
        <family val="2"/>
      </rPr>
      <t xml:space="preserve">계통 없음 → </t>
    </r>
    <r>
      <rPr>
        <sz val="10"/>
        <rFont val="Malgun Gothic"/>
        <family val="0"/>
        <charset val="1"/>
      </rPr>
      <t xml:space="preserve">E3-33 OBOGS </t>
    </r>
    <r>
      <rPr>
        <sz val="10"/>
        <rFont val="Noto Sans CJK SC"/>
        <family val="2"/>
      </rPr>
      <t xml:space="preserve">절차 참조</t>
    </r>
    <r>
      <rPr>
        <sz val="10"/>
        <rFont val="Malgun Gothic"/>
        <family val="0"/>
        <charset val="1"/>
      </rPr>
      <t xml:space="preserve">)</t>
    </r>
  </si>
  <si>
    <t xml:space="preserve">3-130</t>
  </si>
  <si>
    <t xml:space="preserve">E3-33</t>
  </si>
  <si>
    <r>
      <rPr>
        <sz val="10"/>
        <rFont val="Malgun Gothic"/>
        <family val="0"/>
        <charset val="1"/>
      </rPr>
      <t xml:space="preserve">OBOGS(</t>
    </r>
    <r>
      <rPr>
        <sz val="10"/>
        <rFont val="Noto Sans CJK SC"/>
        <family val="2"/>
      </rPr>
      <t xml:space="preserve">기내산소발생장치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이상</t>
    </r>
  </si>
  <si>
    <t xml:space="preserve">OBOGS Malfunction</t>
  </si>
  <si>
    <r>
      <rPr>
        <sz val="10"/>
        <rFont val="Malgun Gothic"/>
        <family val="0"/>
        <charset val="1"/>
      </rPr>
      <t xml:space="preserve">OXY LOW </t>
    </r>
    <r>
      <rPr>
        <sz val="10"/>
        <rFont val="Noto Sans CJK SC"/>
        <family val="2"/>
      </rPr>
      <t xml:space="preserve">경고등 점등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조절기 압력 </t>
    </r>
    <r>
      <rPr>
        <sz val="10"/>
        <rFont val="Malgun Gothic"/>
        <family val="0"/>
        <charset val="1"/>
      </rPr>
      <t xml:space="preserve">5psi </t>
    </r>
    <r>
      <rPr>
        <sz val="10"/>
        <rFont val="Noto Sans CJK SC"/>
        <family val="2"/>
      </rPr>
      <t xml:space="preserve">미만 또는 </t>
    </r>
    <r>
      <rPr>
        <sz val="10"/>
        <rFont val="Malgun Gothic"/>
        <family val="0"/>
        <charset val="1"/>
      </rPr>
      <t xml:space="preserve">BIT </t>
    </r>
    <r>
      <rPr>
        <sz val="10"/>
        <rFont val="Noto Sans CJK SC"/>
        <family val="2"/>
      </rPr>
      <t xml:space="preserve">고장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OBOGS </t>
    </r>
    <r>
      <rPr>
        <sz val="10"/>
        <rFont val="Noto Sans CJK SC"/>
        <family val="2"/>
      </rPr>
      <t xml:space="preserve">코션</t>
    </r>
    <r>
      <rPr>
        <sz val="10"/>
        <rFont val="Malgun Gothic"/>
        <family val="0"/>
        <charset val="1"/>
      </rPr>
      <t xml:space="preserve">(ECS </t>
    </r>
    <r>
      <rPr>
        <sz val="10"/>
        <rFont val="Noto Sans CJK SC"/>
        <family val="2"/>
      </rPr>
      <t xml:space="preserve">공기 </t>
    </r>
    <r>
      <rPr>
        <sz val="10"/>
        <rFont val="Malgun Gothic"/>
        <family val="0"/>
        <charset val="1"/>
      </rPr>
      <t xml:space="preserve">10psi </t>
    </r>
    <r>
      <rPr>
        <sz val="10"/>
        <rFont val="Noto Sans CJK SC"/>
        <family val="2"/>
      </rPr>
      <t xml:space="preserve">미만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마스크 호흡 곤란</t>
    </r>
  </si>
  <si>
    <r>
      <rPr>
        <sz val="10"/>
        <rFont val="Malgun Gothic"/>
        <family val="0"/>
        <charset val="1"/>
      </rPr>
      <t xml:space="preserve">O2 </t>
    </r>
    <r>
      <rPr>
        <sz val="10"/>
        <rFont val="Noto Sans CJK SC"/>
        <family val="2"/>
      </rPr>
      <t xml:space="preserve">압력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캐빈 고도 확인 → </t>
    </r>
    <r>
      <rPr>
        <sz val="10"/>
        <rFont val="Malgun Gothic"/>
        <family val="0"/>
        <charset val="1"/>
      </rPr>
      <t xml:space="preserve">(&lt;5psi&amp;&gt;10k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&gt;5psi&amp;&gt;25k) EOS → 10k </t>
    </r>
    <r>
      <rPr>
        <sz val="10"/>
        <rFont val="Noto Sans CJK SC"/>
        <family val="2"/>
      </rPr>
      <t xml:space="preserve">이하 강하 → 착륙 </t>
    </r>
    <r>
      <rPr>
        <sz val="10"/>
        <rFont val="Malgun Gothic"/>
        <family val="0"/>
        <charset val="1"/>
      </rPr>
      <t xml:space="preserve">/ (&gt;5psi&amp;&lt;25k) Diluter 100% → 10</t>
    </r>
    <r>
      <rPr>
        <sz val="10"/>
        <rFont val="Noto Sans CJK SC"/>
        <family val="2"/>
      </rPr>
      <t xml:space="preserve">초 내 소등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계속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잔존</t>
    </r>
    <r>
      <rPr>
        <sz val="10"/>
        <rFont val="Malgun Gothic"/>
        <family val="0"/>
        <charset val="1"/>
      </rPr>
      <t xml:space="preserve">: OBOGS BIT → </t>
    </r>
    <r>
      <rPr>
        <sz val="10"/>
        <rFont val="Noto Sans CJK SC"/>
        <family val="2"/>
      </rPr>
      <t xml:space="preserve">잔존 시 </t>
    </r>
    <r>
      <rPr>
        <sz val="10"/>
        <rFont val="Malgun Gothic"/>
        <family val="0"/>
        <charset val="1"/>
      </rPr>
      <t xml:space="preserve">EOS(&gt;10k)·</t>
    </r>
    <r>
      <rPr>
        <sz val="10"/>
        <rFont val="Noto Sans CJK SC"/>
        <family val="2"/>
      </rPr>
      <t xml:space="preserve">강하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착륙</t>
    </r>
  </si>
  <si>
    <t xml:space="preserve">3-131</t>
  </si>
  <si>
    <t xml:space="preserve">E3-34</t>
  </si>
  <si>
    <r>
      <rPr>
        <sz val="10"/>
        <rFont val="Malgun Gothic"/>
        <family val="0"/>
        <charset val="1"/>
      </rPr>
      <t xml:space="preserve">PBG(</t>
    </r>
    <r>
      <rPr>
        <sz val="10"/>
        <rFont val="Noto Sans CJK SC"/>
        <family val="2"/>
      </rPr>
      <t xml:space="preserve">양압호흡</t>
    </r>
    <r>
      <rPr>
        <sz val="10"/>
        <rFont val="Malgun Gothic"/>
        <family val="0"/>
        <charset val="1"/>
      </rPr>
      <t xml:space="preserve">G</t>
    </r>
    <r>
      <rPr>
        <sz val="10"/>
        <rFont val="Noto Sans CJK SC"/>
        <family val="2"/>
      </rPr>
      <t xml:space="preserve">슈트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이상</t>
    </r>
  </si>
  <si>
    <t xml:space="preserve">PBG Malfunction</t>
  </si>
  <si>
    <r>
      <rPr>
        <sz val="10"/>
        <rFont val="Malgun Gothic"/>
        <family val="0"/>
        <charset val="1"/>
      </rPr>
      <t xml:space="preserve">PBG </t>
    </r>
    <r>
      <rPr>
        <sz val="10"/>
        <rFont val="Noto Sans CJK SC"/>
        <family val="2"/>
      </rPr>
      <t xml:space="preserve">모드에서 </t>
    </r>
    <r>
      <rPr>
        <sz val="10"/>
        <rFont val="Malgun Gothic"/>
        <family val="0"/>
        <charset val="1"/>
      </rPr>
      <t xml:space="preserve">G </t>
    </r>
    <r>
      <rPr>
        <sz val="10"/>
        <rFont val="Noto Sans CJK SC"/>
        <family val="2"/>
      </rPr>
      <t xml:space="preserve">감소 후에도 마스크 압력이 해소되지 않는 과압 현상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</si>
  <si>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(DCS 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— </t>
    </r>
    <r>
      <rPr>
        <sz val="10"/>
        <rFont val="Noto Sans CJK SC"/>
        <family val="2"/>
      </rPr>
      <t xml:space="preserve">참고</t>
    </r>
    <r>
      <rPr>
        <sz val="10"/>
        <rFont val="Malgun Gothic"/>
        <family val="0"/>
        <charset val="1"/>
      </rPr>
      <t xml:space="preserve">: Oxygen Supply Lever ON → </t>
    </r>
    <r>
      <rPr>
        <sz val="10"/>
        <rFont val="Noto Sans CJK SC"/>
        <family val="2"/>
      </rPr>
      <t xml:space="preserve">비상산소 핸들 → 캐빈 </t>
    </r>
    <r>
      <rPr>
        <sz val="10"/>
        <rFont val="Malgun Gothic"/>
        <family val="0"/>
        <charset val="1"/>
      </rPr>
      <t xml:space="preserve">10k </t>
    </r>
    <r>
      <rPr>
        <sz val="10"/>
        <rFont val="Noto Sans CJK SC"/>
        <family val="2"/>
      </rPr>
      <t xml:space="preserve">이하 → 착륙</t>
    </r>
  </si>
  <si>
    <t xml:space="preserve">E3-35</t>
  </si>
  <si>
    <t xml:space="preserve">연기 또는 매연</t>
  </si>
  <si>
    <t xml:space="preserve">Smoke or Fumes</t>
  </si>
  <si>
    <r>
      <rPr>
        <sz val="10"/>
        <rFont val="Noto Sans CJK SC"/>
        <family val="2"/>
      </rPr>
      <t xml:space="preserve">조종석 내 연기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냄새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원인 미확인은 모두 유독으로 간주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시야 저하</t>
    </r>
  </si>
  <si>
    <r>
      <rPr>
        <sz val="10"/>
        <rFont val="Malgun Gothic"/>
        <family val="0"/>
        <charset val="1"/>
      </rPr>
      <t xml:space="preserve">O2 ON·100%·EMER → ≤25k ft·≤500kt → AIR SOURCE RAM → </t>
    </r>
    <r>
      <rPr>
        <sz val="10"/>
        <rFont val="Noto Sans CJK SC"/>
        <family val="2"/>
      </rPr>
      <t xml:space="preserve">비필수 전원 </t>
    </r>
    <r>
      <rPr>
        <sz val="10"/>
        <rFont val="Malgun Gothic"/>
        <family val="0"/>
        <charset val="1"/>
      </rPr>
      <t xml:space="preserve">OFF(FCR·HDPT·ECM·MIDS) → </t>
    </r>
    <r>
      <rPr>
        <sz val="10"/>
        <rFont val="Noto Sans CJK SC"/>
        <family val="2"/>
      </rPr>
      <t xml:space="preserve">원인 파악 → 즉시 착륙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시야 불가</t>
    </r>
    <r>
      <rPr>
        <sz val="10"/>
        <rFont val="Malgun Gothic"/>
        <family val="0"/>
        <charset val="1"/>
      </rPr>
      <t xml:space="preserve">) ≤180kt → </t>
    </r>
    <r>
      <rPr>
        <sz val="10"/>
        <rFont val="Noto Sans CJK SC"/>
        <family val="2"/>
      </rPr>
      <t xml:space="preserve">좌석 하강 → </t>
    </r>
    <r>
      <rPr>
        <sz val="10"/>
        <rFont val="Malgun Gothic"/>
        <family val="0"/>
        <charset val="1"/>
      </rPr>
      <t xml:space="preserve">ALT FLAPS EXTEND → </t>
    </r>
    <r>
      <rPr>
        <sz val="10"/>
        <rFont val="Noto Sans CJK SC"/>
        <family val="2"/>
      </rPr>
      <t xml:space="preserve">캐노피 투하</t>
    </r>
  </si>
  <si>
    <t xml:space="preserve">3-131~3-132</t>
  </si>
  <si>
    <t xml:space="preserve">E3-36</t>
  </si>
  <si>
    <t xml:space="preserve">스트레이트인 착륙</t>
  </si>
  <si>
    <t xml:space="preserve">Straight-In Landing</t>
  </si>
  <si>
    <r>
      <rPr>
        <sz val="10"/>
        <rFont val="Noto Sans CJK SC"/>
        <family val="2"/>
      </rPr>
      <t xml:space="preserve">유압</t>
    </r>
    <r>
      <rPr>
        <sz val="10"/>
        <rFont val="Malgun Gothic"/>
        <family val="0"/>
        <charset val="1"/>
      </rPr>
      <t xml:space="preserve">/FLCS/</t>
    </r>
    <r>
      <rPr>
        <sz val="10"/>
        <rFont val="Noto Sans CJK SC"/>
        <family val="2"/>
      </rPr>
      <t xml:space="preserve">전기 계통 이상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노즐 고착</t>
    </r>
    <r>
      <rPr>
        <sz val="10"/>
        <rFont val="Malgun Gothic"/>
        <family val="0"/>
        <charset val="1"/>
      </rPr>
      <t xml:space="preserve">, SEC </t>
    </r>
    <r>
      <rPr>
        <sz val="10"/>
        <rFont val="Noto Sans CJK SC"/>
        <family val="2"/>
      </rPr>
      <t xml:space="preserve">모드 등으로 오버헤드 패턴의 기동이 부적절하다고 판단될 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</si>
  <si>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조종성 확인 → 긴 파이널 정대</t>
    </r>
    <r>
      <rPr>
        <sz val="10"/>
        <rFont val="Malgun Gothic"/>
        <family val="0"/>
        <charset val="1"/>
      </rPr>
      <t xml:space="preserve">(ILS </t>
    </r>
    <r>
      <rPr>
        <sz val="10"/>
        <rFont val="Noto Sans CJK SC"/>
        <family val="2"/>
      </rPr>
      <t xml:space="preserve">가능 시 </t>
    </r>
    <r>
      <rPr>
        <sz val="10"/>
        <rFont val="Malgun Gothic"/>
        <family val="0"/>
        <charset val="1"/>
      </rPr>
      <t xml:space="preserve">T-ILS) → LG DN·LANDING </t>
    </r>
    <r>
      <rPr>
        <sz val="10"/>
        <rFont val="Noto Sans CJK SC"/>
        <family val="2"/>
      </rPr>
      <t xml:space="preserve">라이트 → 스로틀로 </t>
    </r>
    <r>
      <rPr>
        <sz val="10"/>
        <rFont val="Malgun Gothic"/>
        <family val="0"/>
        <charset val="1"/>
      </rPr>
      <t xml:space="preserve">AOA 11° </t>
    </r>
    <r>
      <rPr>
        <sz val="10"/>
        <rFont val="Noto Sans CJK SC"/>
        <family val="2"/>
      </rPr>
      <t xml:space="preserve">파워온 완만 강하 → </t>
    </r>
    <r>
      <rPr>
        <sz val="10"/>
        <rFont val="Malgun Gothic"/>
        <family val="0"/>
        <charset val="1"/>
      </rPr>
      <t xml:space="preserve">IDLE·13° </t>
    </r>
    <r>
      <rPr>
        <sz val="10"/>
        <rFont val="Noto Sans CJK SC"/>
        <family val="2"/>
      </rPr>
      <t xml:space="preserve">접지 → 공력제동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제동</t>
    </r>
    <r>
      <rPr>
        <sz val="10"/>
        <rFont val="Malgun Gothic"/>
        <family val="0"/>
        <charset val="1"/>
      </rPr>
      <t xml:space="preserve">(SEC </t>
    </r>
    <r>
      <rPr>
        <sz val="10"/>
        <rFont val="Noto Sans CJK SC"/>
        <family val="2"/>
      </rPr>
      <t xml:space="preserve">시 활주 연장</t>
    </r>
    <r>
      <rPr>
        <sz val="10"/>
        <rFont val="Malgun Gothic"/>
        <family val="0"/>
        <charset val="1"/>
      </rPr>
      <t xml:space="preserve">)</t>
    </r>
  </si>
  <si>
    <t xml:space="preserve">3-132</t>
  </si>
  <si>
    <t xml:space="preserve">E3-37</t>
  </si>
  <si>
    <r>
      <rPr>
        <sz val="10"/>
        <rFont val="Noto Sans CJK SC"/>
        <family val="2"/>
      </rPr>
      <t xml:space="preserve">모의 플레임아웃</t>
    </r>
    <r>
      <rPr>
        <sz val="10"/>
        <rFont val="Malgun Gothic"/>
        <family val="0"/>
        <charset val="1"/>
      </rPr>
      <t xml:space="preserve">(SFO) </t>
    </r>
    <r>
      <rPr>
        <sz val="10"/>
        <rFont val="Noto Sans CJK SC"/>
        <family val="2"/>
      </rPr>
      <t xml:space="preserve">착륙</t>
    </r>
  </si>
  <si>
    <t xml:space="preserve">Simulated Flameout (SFO) Landing</t>
  </si>
  <si>
    <r>
      <rPr>
        <sz val="10"/>
        <rFont val="Noto Sans CJK SC"/>
        <family val="2"/>
      </rPr>
      <t xml:space="preserve">비정상 엔진 반응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오일계통 고장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저연료 등으로 접근 중 엔진 정지가 예상될 때</t>
    </r>
    <r>
      <rPr>
        <sz val="10"/>
        <rFont val="Malgun Gothic"/>
        <family val="0"/>
        <charset val="1"/>
      </rPr>
      <t xml:space="preserve">(SEC </t>
    </r>
    <r>
      <rPr>
        <sz val="10"/>
        <rFont val="Noto Sans CJK SC"/>
        <family val="2"/>
      </rPr>
      <t xml:space="preserve">정상 운용 중에는 비권장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</si>
  <si>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하이키 전 </t>
    </r>
    <r>
      <rPr>
        <sz val="10"/>
        <rFont val="Malgun Gothic"/>
        <family val="0"/>
        <charset val="1"/>
      </rPr>
      <t xml:space="preserve">EPU ON·JFS START2(RUN </t>
    </r>
    <r>
      <rPr>
        <sz val="10"/>
        <rFont val="Noto Sans CJK SC"/>
        <family val="2"/>
      </rPr>
      <t xml:space="preserve">확인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플레임아웃 패턴 → </t>
    </r>
    <r>
      <rPr>
        <sz val="10"/>
        <rFont val="Malgun Gothic"/>
        <family val="0"/>
        <charset val="1"/>
      </rPr>
      <t xml:space="preserve">IDLE+SB 30°(LG UP)/20°(LG DN) → </t>
    </r>
    <r>
      <rPr>
        <sz val="10"/>
        <rFont val="Noto Sans CJK SC"/>
        <family val="2"/>
      </rPr>
      <t xml:space="preserve">실제 정지 시 </t>
    </r>
    <r>
      <rPr>
        <sz val="10"/>
        <rFont val="Malgun Gothic"/>
        <family val="0"/>
        <charset val="1"/>
      </rPr>
      <t xml:space="preserve">SB </t>
    </r>
    <r>
      <rPr>
        <sz val="10"/>
        <rFont val="Noto Sans CJK SC"/>
        <family val="2"/>
      </rPr>
      <t xml:space="preserve">닫고 </t>
    </r>
    <r>
      <rPr>
        <sz val="10"/>
        <rFont val="Malgun Gothic"/>
        <family val="0"/>
        <charset val="1"/>
      </rPr>
      <t xml:space="preserve">EMER JETT → </t>
    </r>
    <r>
      <rPr>
        <sz val="10"/>
        <rFont val="Noto Sans CJK SC"/>
        <family val="2"/>
      </rPr>
      <t xml:space="preserve">착륙</t>
    </r>
    <r>
      <rPr>
        <sz val="10"/>
        <rFont val="Malgun Gothic"/>
        <family val="0"/>
        <charset val="1"/>
      </rPr>
      <t xml:space="preserve">·HOOK(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</t>
    </r>
  </si>
  <si>
    <t xml:space="preserve">3-132~3-133</t>
  </si>
  <si>
    <t xml:space="preserve">E3-38</t>
  </si>
  <si>
    <t xml:space="preserve">조종성 확인</t>
  </si>
  <si>
    <t xml:space="preserve">Controllability Check</t>
  </si>
  <si>
    <r>
      <rPr>
        <sz val="10"/>
        <rFont val="Noto Sans CJK SC"/>
        <family val="2"/>
      </rPr>
      <t xml:space="preserve">구조손상</t>
    </r>
    <r>
      <rPr>
        <sz val="10"/>
        <rFont val="Malgun Gothic"/>
        <family val="0"/>
        <charset val="1"/>
      </rPr>
      <t xml:space="preserve">·LEF/TEF </t>
    </r>
    <r>
      <rPr>
        <sz val="10"/>
        <rFont val="Noto Sans CJK SC"/>
        <family val="2"/>
      </rPr>
      <t xml:space="preserve">비대칭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비대칭 스토어</t>
    </r>
    <r>
      <rPr>
        <sz val="10"/>
        <rFont val="Malgun Gothic"/>
        <family val="0"/>
        <charset val="1"/>
      </rPr>
      <t xml:space="preserve">·DBU </t>
    </r>
    <r>
      <rPr>
        <sz val="10"/>
        <rFont val="Noto Sans CJK SC"/>
        <family val="2"/>
      </rPr>
      <t xml:space="preserve">등으로 조종특성 악화가 확인되거나 의심될 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접근 시작 전</t>
    </r>
  </si>
  <si>
    <r>
      <rPr>
        <sz val="10"/>
        <rFont val="Noto Sans CJK SC"/>
        <family val="2"/>
      </rPr>
      <t xml:space="preserve">안전고도 → 중량 감소 → </t>
    </r>
    <r>
      <rPr>
        <sz val="10"/>
        <rFont val="Malgun Gothic"/>
        <family val="0"/>
        <charset val="1"/>
      </rPr>
      <t xml:space="preserve">(LEF </t>
    </r>
    <r>
      <rPr>
        <sz val="10"/>
        <rFont val="Noto Sans CJK SC"/>
        <family val="2"/>
      </rPr>
      <t xml:space="preserve">손상</t>
    </r>
    <r>
      <rPr>
        <sz val="10"/>
        <rFont val="Malgun Gothic"/>
        <family val="0"/>
        <charset val="1"/>
      </rPr>
      <t xml:space="preserve">) LE FLAPS LOCK → </t>
    </r>
    <r>
      <rPr>
        <sz val="10"/>
        <rFont val="Noto Sans CJK SC"/>
        <family val="2"/>
      </rPr>
      <t xml:space="preserve">착륙 형태 결정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필요시 </t>
    </r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</t>
    </r>
    <r>
      <rPr>
        <sz val="10"/>
        <rFont val="Malgun Gothic"/>
        <family val="0"/>
        <charset val="1"/>
      </rPr>
      <t xml:space="preserve">UP+ALT GEAR, CHAN 2) → S-J → </t>
    </r>
    <r>
      <rPr>
        <sz val="10"/>
        <rFont val="Noto Sans CJK SC"/>
        <family val="2"/>
      </rPr>
      <t xml:space="preserve">점진 감속으로 최소 접근속도 확인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불가 시 사출</t>
    </r>
    <r>
      <rPr>
        <sz val="10"/>
        <rFont val="Malgun Gothic"/>
        <family val="0"/>
        <charset val="1"/>
      </rPr>
      <t xml:space="preserve">)</t>
    </r>
  </si>
  <si>
    <t xml:space="preserve">3-133~3-134</t>
  </si>
  <si>
    <t xml:space="preserve">E3-39</t>
  </si>
  <si>
    <t xml:space="preserve">케이블 어레스트먼트</t>
  </si>
  <si>
    <t xml:space="preserve">Cable Arrestment</t>
  </si>
  <si>
    <r>
      <rPr>
        <sz val="10"/>
        <rFont val="Noto Sans CJK SC"/>
        <family val="2"/>
      </rPr>
      <t xml:space="preserve">제동 이상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고속 착륙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젖은 활주로 등으로 남은 활주로 내 정지가 의심되고 케이블</t>
    </r>
    <r>
      <rPr>
        <sz val="10"/>
        <rFont val="Malgun Gothic"/>
        <family val="0"/>
        <charset val="1"/>
      </rPr>
      <t xml:space="preserve">(BAK-12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설치 활주로일 때</t>
    </r>
  </si>
  <si>
    <r>
      <rPr>
        <sz val="10"/>
        <rFont val="Noto Sans CJK SC"/>
        <family val="2"/>
      </rPr>
      <t xml:space="preserve">중량 감소 → </t>
    </r>
    <r>
      <rPr>
        <sz val="10"/>
        <rFont val="Malgun Gothic"/>
        <family val="0"/>
        <charset val="1"/>
      </rPr>
      <t xml:space="preserve">HOOK DN(</t>
    </r>
    <r>
      <rPr>
        <sz val="10"/>
        <rFont val="Noto Sans CJK SC"/>
        <family val="2"/>
      </rPr>
      <t xml:space="preserve">진입단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케이블 </t>
    </r>
    <r>
      <rPr>
        <sz val="10"/>
        <rFont val="Malgun Gothic"/>
        <family val="0"/>
        <charset val="1"/>
      </rPr>
      <t xml:space="preserve">500ft </t>
    </r>
    <r>
      <rPr>
        <sz val="10"/>
        <rFont val="Noto Sans CJK SC"/>
        <family val="2"/>
      </rPr>
      <t xml:space="preserve">앞 접지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하네스 </t>
    </r>
    <r>
      <rPr>
        <sz val="10"/>
        <rFont val="Malgun Gothic"/>
        <family val="0"/>
        <charset val="1"/>
      </rPr>
      <t xml:space="preserve">LOCK → </t>
    </r>
    <r>
      <rPr>
        <sz val="10"/>
        <rFont val="Noto Sans CJK SC"/>
        <family val="2"/>
      </rPr>
      <t xml:space="preserve">실패 대안 결정 → 스로틀 </t>
    </r>
    <r>
      <rPr>
        <sz val="10"/>
        <rFont val="Malgun Gothic"/>
        <family val="0"/>
        <charset val="1"/>
      </rPr>
      <t xml:space="preserve">IDLE → NWS(</t>
    </r>
    <r>
      <rPr>
        <sz val="10"/>
        <rFont val="Noto Sans CJK SC"/>
        <family val="2"/>
      </rPr>
      <t xml:space="preserve">필요시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중앙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노즈휠 지상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브레이크 </t>
    </r>
    <r>
      <rPr>
        <sz val="10"/>
        <rFont val="Malgun Gothic"/>
        <family val="0"/>
        <charset val="1"/>
      </rPr>
      <t xml:space="preserve">OFF</t>
    </r>
    <r>
      <rPr>
        <sz val="10"/>
        <rFont val="Noto Sans CJK SC"/>
        <family val="2"/>
      </rPr>
      <t xml:space="preserve">로 체결</t>
    </r>
  </si>
  <si>
    <t xml:space="preserve">3-134</t>
  </si>
  <si>
    <t xml:space="preserve">E3-40</t>
  </si>
  <si>
    <t xml:space="preserve">네트 어레스트먼트</t>
  </si>
  <si>
    <t xml:space="preserve">Net Arrestment</t>
  </si>
  <si>
    <t xml:space="preserve">훅 사용 불가 또는 케이블 체결 실패 후 활주로 끝 네트 배리어가 기립되어 있을 때</t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</si>
  <si>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(DCS: </t>
    </r>
    <r>
      <rPr>
        <sz val="10"/>
        <rFont val="Noto Sans CJK SC"/>
        <family val="2"/>
      </rPr>
      <t xml:space="preserve">네트 배리어 없음 → </t>
    </r>
    <r>
      <rPr>
        <sz val="10"/>
        <rFont val="Malgun Gothic"/>
        <family val="0"/>
        <charset val="1"/>
      </rPr>
      <t xml:space="preserve">E3-39 </t>
    </r>
    <r>
      <rPr>
        <sz val="10"/>
        <rFont val="Noto Sans CJK SC"/>
        <family val="2"/>
      </rPr>
      <t xml:space="preserve">케이블 어레스트먼트</t>
    </r>
    <r>
      <rPr>
        <sz val="10"/>
        <rFont val="Malgun Gothic"/>
        <family val="0"/>
        <charset val="1"/>
      </rPr>
      <t xml:space="preserve">)</t>
    </r>
  </si>
  <si>
    <t xml:space="preserve">3-134~3-135</t>
  </si>
  <si>
    <t xml:space="preserve">E3-41</t>
  </si>
  <si>
    <t xml:space="preserve">메인기어 타이어 파열 상태 착륙</t>
  </si>
  <si>
    <t xml:space="preserve">Landing With A Blown Main Gear Tire</t>
  </si>
  <si>
    <r>
      <rPr>
        <sz val="10"/>
        <rFont val="Noto Sans CJK SC"/>
        <family val="2"/>
      </rPr>
      <t xml:space="preserve">이륙 중 타이어 파열 확인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의심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진동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편향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착륙 전 메인 타이어 손상이 보고될 때</t>
    </r>
  </si>
  <si>
    <r>
      <rPr>
        <sz val="10"/>
        <rFont val="Malgun Gothic"/>
        <family val="0"/>
        <charset val="1"/>
      </rPr>
      <t xml:space="preserve">S-J(</t>
    </r>
    <r>
      <rPr>
        <sz val="10"/>
        <rFont val="Noto Sans CJK SC"/>
        <family val="2"/>
      </rPr>
      <t xml:space="preserve">빈 탱크 유지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중량 감소 → </t>
    </r>
    <r>
      <rPr>
        <sz val="10"/>
        <rFont val="Malgun Gothic"/>
        <family val="0"/>
        <charset val="1"/>
      </rPr>
      <t xml:space="preserve">TANK INERTING → (</t>
    </r>
    <r>
      <rPr>
        <sz val="10"/>
        <rFont val="Noto Sans CJK SC"/>
        <family val="2"/>
      </rPr>
      <t xml:space="preserve">외부탱크</t>
    </r>
    <r>
      <rPr>
        <sz val="10"/>
        <rFont val="Malgun Gothic"/>
        <family val="0"/>
        <charset val="1"/>
      </rPr>
      <t xml:space="preserve">) AIR REFUEL OPEN → ANTISKID → HOOK DN → AOA 13° </t>
    </r>
    <r>
      <rPr>
        <sz val="10"/>
        <rFont val="Noto Sans CJK SC"/>
        <family val="2"/>
      </rPr>
      <t xml:space="preserve">접근 → 진입단 체결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실패 시 </t>
    </r>
    <r>
      <rPr>
        <sz val="10"/>
        <rFont val="Malgun Gothic"/>
        <family val="0"/>
        <charset val="1"/>
      </rPr>
      <t xml:space="preserve">NWS·</t>
    </r>
    <r>
      <rPr>
        <sz val="10"/>
        <rFont val="Noto Sans CJK SC"/>
        <family val="2"/>
      </rPr>
      <t xml:space="preserve">정상 타이어 제동 → 복행 판단</t>
    </r>
  </si>
  <si>
    <t xml:space="preserve">3-135~3-136</t>
  </si>
  <si>
    <t xml:space="preserve">E3-42</t>
  </si>
  <si>
    <t xml:space="preserve">노즈기어 타이어 파열 상태 착륙</t>
  </si>
  <si>
    <t xml:space="preserve">Landing With A Blown Nose Gear Tire</t>
  </si>
  <si>
    <r>
      <rPr>
        <sz val="10"/>
        <rFont val="Noto Sans CJK SC"/>
        <family val="2"/>
      </rPr>
      <t xml:space="preserve">이륙 중 노즈 타이어 파열 확인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의심 또는 착륙 전 노즈기어 타이어 손상 보고</t>
    </r>
  </si>
  <si>
    <r>
      <rPr>
        <sz val="10"/>
        <rFont val="Malgun Gothic"/>
        <family val="0"/>
        <charset val="1"/>
      </rPr>
      <t xml:space="preserve">S-J(</t>
    </r>
    <r>
      <rPr>
        <sz val="10"/>
        <rFont val="Noto Sans CJK SC"/>
        <family val="2"/>
      </rPr>
      <t xml:space="preserve">빈 탱크 유지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연료 </t>
    </r>
    <r>
      <rPr>
        <sz val="10"/>
        <rFont val="Malgun Gothic"/>
        <family val="0"/>
        <charset val="1"/>
      </rPr>
      <t xml:space="preserve">1500lb </t>
    </r>
    <r>
      <rPr>
        <sz val="10"/>
        <rFont val="Noto Sans CJK SC"/>
        <family val="2"/>
      </rPr>
      <t xml:space="preserve">계획</t>
    </r>
    <r>
      <rPr>
        <sz val="10"/>
        <rFont val="Malgun Gothic"/>
        <family val="0"/>
        <charset val="1"/>
      </rPr>
      <t xml:space="preserve">·ENG FEED FWD(3000lb </t>
    </r>
    <r>
      <rPr>
        <sz val="10"/>
        <rFont val="Noto Sans CJK SC"/>
        <family val="2"/>
      </rPr>
      <t xml:space="preserve">시</t>
    </r>
    <r>
      <rPr>
        <sz val="10"/>
        <rFont val="Malgun Gothic"/>
        <family val="0"/>
        <charset val="1"/>
      </rPr>
      <t xml:space="preserve">) → TANK INERTING → AIR REFUEL OPEN → HOOK DN → AOA 13° → </t>
    </r>
    <r>
      <rPr>
        <sz val="10"/>
        <rFont val="Noto Sans CJK SC"/>
        <family val="2"/>
      </rPr>
      <t xml:space="preserve">접지 후 </t>
    </r>
    <r>
      <rPr>
        <sz val="10"/>
        <rFont val="Malgun Gothic"/>
        <family val="0"/>
        <charset val="1"/>
      </rPr>
      <t xml:space="preserve">5° </t>
    </r>
    <r>
      <rPr>
        <sz val="10"/>
        <rFont val="Noto Sans CJK SC"/>
        <family val="2"/>
      </rPr>
      <t xml:space="preserve">피치로 노즈 공중 체결 → 체결 후 후방 스틱 → 실패 시 복행</t>
    </r>
  </si>
  <si>
    <t xml:space="preserve">3-136</t>
  </si>
  <si>
    <t xml:space="preserve">E3-43</t>
  </si>
  <si>
    <t xml:space="preserve">착륙장치 핸들이 내려가지 않음</t>
  </si>
  <si>
    <t xml:space="preserve">LG Handle Will Not Lower</t>
  </si>
  <si>
    <r>
      <rPr>
        <sz val="10"/>
        <rFont val="Noto Sans CJK SC"/>
        <family val="2"/>
      </rPr>
      <t xml:space="preserve">다운윈드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파이널에서 </t>
    </r>
    <r>
      <rPr>
        <sz val="10"/>
        <rFont val="Malgun Gothic"/>
        <family val="0"/>
        <charset val="1"/>
      </rPr>
      <t xml:space="preserve">Landing Gear Lever</t>
    </r>
    <r>
      <rPr>
        <sz val="10"/>
        <rFont val="Noto Sans CJK SC"/>
        <family val="2"/>
      </rPr>
      <t xml:space="preserve">가 </t>
    </r>
    <r>
      <rPr>
        <sz val="10"/>
        <rFont val="Malgun Gothic"/>
        <family val="0"/>
        <charset val="1"/>
      </rPr>
      <t xml:space="preserve">DN</t>
    </r>
    <r>
      <rPr>
        <sz val="10"/>
        <rFont val="Noto Sans CJK SC"/>
        <family val="2"/>
      </rPr>
      <t xml:space="preserve">으로 내려가지 않음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솔레노이드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전기 고장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</si>
  <si>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DN LOCK REL </t>
    </r>
    <r>
      <rPr>
        <sz val="10"/>
        <rFont val="Noto Sans CJK SC"/>
        <family val="2"/>
      </rPr>
      <t xml:space="preserve">버튼 누른 채 </t>
    </r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</t>
    </r>
    <r>
      <rPr>
        <sz val="10"/>
        <rFont val="Malgun Gothic"/>
        <family val="0"/>
        <charset val="1"/>
      </rPr>
      <t xml:space="preserve">DN → (</t>
    </r>
    <r>
      <rPr>
        <sz val="10"/>
        <rFont val="Noto Sans CJK SC"/>
        <family val="2"/>
      </rPr>
      <t xml:space="preserve">불가</t>
    </r>
    <r>
      <rPr>
        <sz val="10"/>
        <rFont val="Malgun Gothic"/>
        <family val="0"/>
        <charset val="1"/>
      </rPr>
      <t xml:space="preserve">) ALT FLAPS EXTEND → BRAKES CHAN 2 → ALT GEAR </t>
    </r>
    <r>
      <rPr>
        <sz val="10"/>
        <rFont val="Noto Sans CJK SC"/>
        <family val="2"/>
      </rPr>
      <t xml:space="preserve">전개</t>
    </r>
    <r>
      <rPr>
        <sz val="10"/>
        <rFont val="Malgun Gothic"/>
        <family val="0"/>
        <charset val="1"/>
      </rPr>
      <t xml:space="preserve">(E3-45)</t>
    </r>
  </si>
  <si>
    <t xml:space="preserve">3-137</t>
  </si>
  <si>
    <t xml:space="preserve">E3-44</t>
  </si>
  <si>
    <t xml:space="preserve">착륙장치 전개 실패</t>
  </si>
  <si>
    <t xml:space="preserve">LG Fails To Extend</t>
  </si>
  <si>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</t>
    </r>
    <r>
      <rPr>
        <sz val="10"/>
        <rFont val="Malgun Gothic"/>
        <family val="0"/>
        <charset val="1"/>
      </rPr>
      <t xml:space="preserve">DN </t>
    </r>
    <r>
      <rPr>
        <sz val="10"/>
        <rFont val="Noto Sans CJK SC"/>
        <family val="2"/>
      </rPr>
      <t xml:space="preserve">후 </t>
    </r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적색 경고등 잔존 또는 </t>
    </r>
    <r>
      <rPr>
        <sz val="10"/>
        <rFont val="Malgun Gothic"/>
        <family val="0"/>
        <charset val="1"/>
      </rPr>
      <t xml:space="preserve">WHEELS down </t>
    </r>
    <r>
      <rPr>
        <sz val="10"/>
        <rFont val="Noto Sans CJK SC"/>
        <family val="2"/>
      </rPr>
      <t xml:space="preserve">녹색등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개 이상 미점등</t>
    </r>
  </si>
  <si>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순환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등화 감시 → 정상</t>
    </r>
    <r>
      <rPr>
        <sz val="10"/>
        <rFont val="Malgun Gothic"/>
        <family val="0"/>
        <charset val="1"/>
      </rPr>
      <t xml:space="preserve">: SB 43° </t>
    </r>
    <r>
      <rPr>
        <sz val="10"/>
        <rFont val="Noto Sans CJK SC"/>
        <family val="2"/>
      </rPr>
      <t xml:space="preserve">제한 확인 후 정상 착륙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비정상</t>
    </r>
    <r>
      <rPr>
        <sz val="10"/>
        <rFont val="Malgun Gothic"/>
        <family val="0"/>
        <charset val="1"/>
      </rPr>
      <t xml:space="preserve">: ALT GEAR </t>
    </r>
    <r>
      <rPr>
        <sz val="10"/>
        <rFont val="Noto Sans CJK SC"/>
        <family val="2"/>
      </rPr>
      <t xml:space="preserve">전개</t>
    </r>
    <r>
      <rPr>
        <sz val="10"/>
        <rFont val="Malgun Gothic"/>
        <family val="0"/>
        <charset val="1"/>
      </rPr>
      <t xml:space="preserve">(E3-45)</t>
    </r>
  </si>
  <si>
    <t xml:space="preserve">3-137~3-138</t>
  </si>
  <si>
    <t xml:space="preserve">E3-45</t>
  </si>
  <si>
    <t xml:space="preserve">대체 착륙장치 전개</t>
  </si>
  <si>
    <t xml:space="preserve">Alternate LG Extension</t>
  </si>
  <si>
    <r>
      <rPr>
        <sz val="10"/>
        <rFont val="Noto Sans CJK SC"/>
        <family val="2"/>
      </rPr>
      <t xml:space="preserve">정상 기어 전개 실패</t>
    </r>
    <r>
      <rPr>
        <sz val="10"/>
        <rFont val="Malgun Gothic"/>
        <family val="0"/>
        <charset val="1"/>
      </rPr>
      <t xml:space="preserve">(E3-43/44) </t>
    </r>
    <r>
      <rPr>
        <sz val="10"/>
        <rFont val="Noto Sans CJK SC"/>
        <family val="2"/>
      </rPr>
      <t xml:space="preserve">또는 유압 </t>
    </r>
    <r>
      <rPr>
        <sz val="10"/>
        <rFont val="Malgun Gothic"/>
        <family val="0"/>
        <charset val="1"/>
      </rPr>
      <t xml:space="preserve">B </t>
    </r>
    <r>
      <rPr>
        <sz val="10"/>
        <rFont val="Noto Sans CJK SC"/>
        <family val="2"/>
      </rPr>
      <t xml:space="preserve">고장</t>
    </r>
    <r>
      <rPr>
        <sz val="10"/>
        <rFont val="Malgun Gothic"/>
        <family val="0"/>
        <charset val="1"/>
      </rPr>
      <t xml:space="preserve">(E3-26/27/28)</t>
    </r>
    <r>
      <rPr>
        <sz val="10"/>
        <rFont val="Noto Sans CJK SC"/>
        <family val="2"/>
      </rPr>
      <t xml:space="preserve">으로 대체 전개가 필요할 때</t>
    </r>
  </si>
  <si>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</t>
    </r>
    <r>
      <rPr>
        <sz val="10"/>
        <rFont val="Malgun Gothic"/>
        <family val="0"/>
        <charset val="1"/>
      </rPr>
      <t xml:space="preserve">DN → ALT GEAR </t>
    </r>
    <r>
      <rPr>
        <sz val="10"/>
        <rFont val="Noto Sans CJK SC"/>
        <family val="2"/>
      </rPr>
      <t xml:space="preserve">당김</t>
    </r>
    <r>
      <rPr>
        <sz val="10"/>
        <rFont val="Malgun Gothic"/>
        <family val="0"/>
        <charset val="1"/>
      </rPr>
      <t xml:space="preserve">(≤190kt) → </t>
    </r>
    <r>
      <rPr>
        <sz val="10"/>
        <rFont val="Noto Sans CJK SC"/>
        <family val="2"/>
      </rPr>
      <t xml:space="preserve">안전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정상 착륙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직진 정지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불안전</t>
    </r>
    <r>
      <rPr>
        <sz val="10"/>
        <rFont val="Malgun Gothic"/>
        <family val="0"/>
        <charset val="1"/>
      </rPr>
      <t xml:space="preserve">: -1~+3g </t>
    </r>
    <r>
      <rPr>
        <sz val="10"/>
        <rFont val="Noto Sans CJK SC"/>
        <family val="2"/>
      </rPr>
      <t xml:space="preserve">교번 → 안전 시 착륙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여전히 불안전</t>
    </r>
    <r>
      <rPr>
        <sz val="10"/>
        <rFont val="Malgun Gothic"/>
        <family val="0"/>
        <charset val="1"/>
      </rPr>
      <t xml:space="preserve">: SB&lt;43°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E3-46</t>
    </r>
  </si>
  <si>
    <t xml:space="preserve">3-138~3-139</t>
  </si>
  <si>
    <t xml:space="preserve">E3-46</t>
  </si>
  <si>
    <r>
      <rPr>
        <sz val="10"/>
        <rFont val="Noto Sans CJK SC"/>
        <family val="2"/>
      </rPr>
      <t xml:space="preserve">착륙장치 불안전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미전개 상태 착륙</t>
    </r>
  </si>
  <si>
    <t xml:space="preserve">Landing With LG Unsafe/Up</t>
  </si>
  <si>
    <r>
      <rPr>
        <sz val="10"/>
        <rFont val="Noto Sans CJK SC"/>
        <family val="2"/>
      </rPr>
      <t xml:space="preserve">대체 전개</t>
    </r>
    <r>
      <rPr>
        <sz val="10"/>
        <rFont val="Malgun Gothic"/>
        <family val="0"/>
        <charset val="1"/>
      </rPr>
      <t xml:space="preserve">(E3-45) </t>
    </r>
    <r>
      <rPr>
        <sz val="10"/>
        <rFont val="Noto Sans CJK SC"/>
        <family val="2"/>
      </rPr>
      <t xml:space="preserve">후에도 기어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개 이상이 불안전</t>
    </r>
    <r>
      <rPr>
        <sz val="10"/>
        <rFont val="Malgun Gothic"/>
        <family val="0"/>
        <charset val="1"/>
      </rPr>
      <t xml:space="preserve">/UP</t>
    </r>
    <r>
      <rPr>
        <sz val="10"/>
        <rFont val="Noto Sans CJK SC"/>
        <family val="2"/>
      </rPr>
      <t xml:space="preserve">으로 표시되고 사출 대신 착륙을 결정한 경우</t>
    </r>
  </si>
  <si>
    <r>
      <rPr>
        <sz val="10"/>
        <rFont val="Noto Sans CJK SC"/>
        <family val="2"/>
      </rPr>
      <t xml:space="preserve">빈 탱크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랙 유지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즉시면 투하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무장 투하 → 중량 감소 → </t>
    </r>
    <r>
      <rPr>
        <sz val="10"/>
        <rFont val="Malgun Gothic"/>
        <family val="0"/>
        <charset val="1"/>
      </rPr>
      <t xml:space="preserve">TANK INERTING → AIR REFUEL OPEN → FCR OFF → ST STA/HDPT/ECM OFF → </t>
    </r>
    <r>
      <rPr>
        <sz val="10"/>
        <rFont val="Noto Sans CJK SC"/>
        <family val="2"/>
      </rPr>
      <t xml:space="preserve">하네스 </t>
    </r>
    <r>
      <rPr>
        <sz val="10"/>
        <rFont val="Malgun Gothic"/>
        <family val="0"/>
        <charset val="1"/>
      </rPr>
      <t xml:space="preserve">LOCK → </t>
    </r>
    <r>
      <rPr>
        <sz val="10"/>
        <rFont val="Noto Sans CJK SC"/>
        <family val="2"/>
      </rPr>
      <t xml:space="preserve">형태별</t>
    </r>
    <r>
      <rPr>
        <sz val="10"/>
        <rFont val="Malgun Gothic"/>
        <family val="0"/>
        <charset val="1"/>
      </rPr>
      <t xml:space="preserve">: (</t>
    </r>
    <r>
      <rPr>
        <sz val="10"/>
        <rFont val="Noto Sans CJK SC"/>
        <family val="2"/>
      </rPr>
      <t xml:space="preserve">전체 </t>
    </r>
    <r>
      <rPr>
        <sz val="10"/>
        <rFont val="Malgun Gothic"/>
        <family val="0"/>
        <charset val="1"/>
      </rPr>
      <t xml:space="preserve">UP) EPU ON·ALT FLAPS·13°·</t>
    </r>
    <r>
      <rPr>
        <sz val="10"/>
        <rFont val="Noto Sans CJK SC"/>
        <family val="2"/>
      </rPr>
      <t xml:space="preserve">접지 전 스로틀 </t>
    </r>
    <r>
      <rPr>
        <sz val="10"/>
        <rFont val="Malgun Gothic"/>
        <family val="0"/>
        <charset val="1"/>
      </rPr>
      <t xml:space="preserve">OFF / (</t>
    </r>
    <r>
      <rPr>
        <sz val="10"/>
        <rFont val="Noto Sans CJK SC"/>
        <family val="2"/>
      </rPr>
      <t xml:space="preserve">한쪽 </t>
    </r>
    <r>
      <rPr>
        <sz val="10"/>
        <rFont val="Malgun Gothic"/>
        <family val="0"/>
        <charset val="1"/>
      </rPr>
      <t xml:space="preserve">MLG UP) HOOK DN·11°·</t>
    </r>
    <r>
      <rPr>
        <sz val="10"/>
        <rFont val="Noto Sans CJK SC"/>
        <family val="2"/>
      </rPr>
      <t xml:space="preserve">날개 들기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체결 후 스로틀 </t>
    </r>
    <r>
      <rPr>
        <sz val="10"/>
        <rFont val="Malgun Gothic"/>
        <family val="0"/>
        <charset val="1"/>
      </rPr>
      <t xml:space="preserve">OFF</t>
    </r>
  </si>
  <si>
    <t xml:space="preserve">3-139~3-145</t>
  </si>
  <si>
    <t xml:space="preserve">E3-47</t>
  </si>
  <si>
    <r>
      <rPr>
        <sz val="10"/>
        <rFont val="Noto Sans CJK SC"/>
        <family val="2"/>
      </rPr>
      <t xml:space="preserve">안티스킵 이상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착륙시</t>
    </r>
    <r>
      <rPr>
        <sz val="10"/>
        <rFont val="Malgun Gothic"/>
        <family val="0"/>
        <charset val="1"/>
      </rPr>
      <t xml:space="preserve">)</t>
    </r>
  </si>
  <si>
    <t xml:space="preserve">Antiskid Malfunction (Landing)</t>
  </si>
  <si>
    <r>
      <rPr>
        <sz val="10"/>
        <rFont val="Malgun Gothic"/>
        <family val="0"/>
        <charset val="1"/>
      </rPr>
      <t xml:space="preserve">LG </t>
    </r>
    <r>
      <rPr>
        <sz val="10"/>
        <rFont val="Noto Sans CJK SC"/>
        <family val="2"/>
      </rPr>
      <t xml:space="preserve">핸들 </t>
    </r>
    <r>
      <rPr>
        <sz val="10"/>
        <rFont val="Malgun Gothic"/>
        <family val="0"/>
        <charset val="1"/>
      </rPr>
      <t xml:space="preserve">DN </t>
    </r>
    <r>
      <rPr>
        <sz val="10"/>
        <rFont val="Noto Sans CJK SC"/>
        <family val="2"/>
      </rPr>
      <t xml:space="preserve">후 </t>
    </r>
    <r>
      <rPr>
        <sz val="10"/>
        <rFont val="Malgun Gothic"/>
        <family val="0"/>
        <charset val="1"/>
      </rPr>
      <t xml:space="preserve">ANTI SKID </t>
    </r>
    <r>
      <rPr>
        <sz val="10"/>
        <rFont val="Noto Sans CJK SC"/>
        <family val="2"/>
      </rPr>
      <t xml:space="preserve">코션등 점등</t>
    </r>
  </si>
  <si>
    <r>
      <rPr>
        <sz val="10"/>
        <rFont val="Malgun Gothic"/>
        <family val="0"/>
        <charset val="1"/>
      </rPr>
      <t xml:space="preserve">BRAKES CHAN 2 → (</t>
    </r>
    <r>
      <rPr>
        <sz val="10"/>
        <rFont val="Noto Sans CJK SC"/>
        <family val="2"/>
      </rPr>
      <t xml:space="preserve">잔존</t>
    </r>
    <r>
      <rPr>
        <sz val="10"/>
        <rFont val="Malgun Gothic"/>
        <family val="0"/>
        <charset val="1"/>
      </rPr>
      <t xml:space="preserve">) ANTI-SKID OFF→ANTI-SKID → (</t>
    </r>
    <r>
      <rPr>
        <sz val="10"/>
        <rFont val="Noto Sans CJK SC"/>
        <family val="2"/>
      </rPr>
      <t xml:space="preserve">잔존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안티스킵 없음 가정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공력제동 최대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가벼운 대칭 제동</t>
    </r>
    <r>
      <rPr>
        <sz val="10"/>
        <rFont val="Malgun Gothic"/>
        <family val="0"/>
        <charset val="1"/>
      </rPr>
      <t xml:space="preserve">·HOOK </t>
    </r>
    <r>
      <rPr>
        <sz val="10"/>
        <rFont val="Noto Sans CJK SC"/>
        <family val="2"/>
      </rPr>
      <t xml:space="preserve">고려</t>
    </r>
  </si>
  <si>
    <t xml:space="preserve">3-140~3-141</t>
  </si>
  <si>
    <t xml:space="preserve">E3-48</t>
  </si>
  <si>
    <r>
      <rPr>
        <sz val="10"/>
        <rFont val="Noto Sans CJK SC"/>
        <family val="2"/>
      </rPr>
      <t xml:space="preserve">비대칭 스토어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착륙시</t>
    </r>
    <r>
      <rPr>
        <sz val="10"/>
        <rFont val="Malgun Gothic"/>
        <family val="0"/>
        <charset val="1"/>
      </rPr>
      <t xml:space="preserve">)</t>
    </r>
  </si>
  <si>
    <t xml:space="preserve">Asymmetric Stores (Landing)</t>
  </si>
  <si>
    <r>
      <rPr>
        <sz val="10"/>
        <rFont val="Noto Sans CJK SC"/>
        <family val="2"/>
      </rPr>
      <t xml:space="preserve">행업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불발</t>
    </r>
    <r>
      <rPr>
        <sz val="10"/>
        <rFont val="Malgun Gothic"/>
        <family val="0"/>
        <charset val="1"/>
      </rPr>
      <t xml:space="preserve">)·</t>
    </r>
    <r>
      <rPr>
        <sz val="10"/>
        <rFont val="Noto Sans CJK SC"/>
        <family val="2"/>
      </rPr>
      <t xml:space="preserve">편측 투하로 좌우 스테이션 무게가 달라진 상태에서 착륙을 준비할 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순 비대칭 </t>
    </r>
    <r>
      <rPr>
        <sz val="10"/>
        <rFont val="Malgun Gothic"/>
        <family val="0"/>
        <charset val="1"/>
      </rPr>
      <t xml:space="preserve">10,000ft-lb </t>
    </r>
    <r>
      <rPr>
        <sz val="10"/>
        <rFont val="Noto Sans CJK SC"/>
        <family val="2"/>
      </rPr>
      <t xml:space="preserve">초과 의심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</si>
  <si>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SMS</t>
    </r>
    <r>
      <rPr>
        <sz val="10"/>
        <rFont val="Noto Sans CJK SC"/>
        <family val="2"/>
      </rPr>
      <t xml:space="preserve">로 좌우 스토어 비교 → 모멘트 개산 → </t>
    </r>
    <r>
      <rPr>
        <sz val="10"/>
        <rFont val="Malgun Gothic"/>
        <family val="0"/>
        <charset val="1"/>
      </rPr>
      <t xml:space="preserve">&gt;25,020: </t>
    </r>
    <r>
      <rPr>
        <sz val="10"/>
        <rFont val="Noto Sans CJK SC"/>
        <family val="2"/>
      </rPr>
      <t xml:space="preserve">무거운 쪽 </t>
    </r>
    <r>
      <rPr>
        <sz val="10"/>
        <rFont val="Malgun Gothic"/>
        <family val="0"/>
        <charset val="1"/>
      </rPr>
      <t xml:space="preserve">S-J → &gt;10,000: LG DN </t>
    </r>
    <r>
      <rPr>
        <sz val="10"/>
        <rFont val="Noto Sans CJK SC"/>
        <family val="2"/>
      </rPr>
      <t xml:space="preserve">조종성 확인</t>
    </r>
    <r>
      <rPr>
        <sz val="10"/>
        <rFont val="Malgun Gothic"/>
        <family val="0"/>
        <charset val="1"/>
      </rPr>
      <t xml:space="preserve">(≤12°) → </t>
    </r>
    <r>
      <rPr>
        <sz val="10"/>
        <rFont val="Noto Sans CJK SC"/>
        <family val="2"/>
      </rPr>
      <t xml:space="preserve">파워온 스트레이트인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불가 시 사출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러더 트림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무거운 쪽 ≤</t>
    </r>
    <r>
      <rPr>
        <sz val="10"/>
        <rFont val="Malgun Gothic"/>
        <family val="0"/>
        <charset val="1"/>
      </rPr>
      <t xml:space="preserve">2 dot) → &lt;10,000: </t>
    </r>
    <r>
      <rPr>
        <sz val="10"/>
        <rFont val="Noto Sans CJK SC"/>
        <family val="2"/>
      </rPr>
      <t xml:space="preserve">정상 착륙</t>
    </r>
  </si>
  <si>
    <t xml:space="preserve">3-141, 3-144~3-145</t>
  </si>
  <si>
    <t xml:space="preserve">E3-49</t>
  </si>
  <si>
    <r>
      <rPr>
        <sz val="10"/>
        <rFont val="Malgun Gothic"/>
        <family val="0"/>
        <charset val="1"/>
      </rPr>
      <t xml:space="preserve">NLG WOW(</t>
    </r>
    <r>
      <rPr>
        <sz val="10"/>
        <rFont val="Noto Sans CJK SC"/>
        <family val="2"/>
      </rPr>
      <t xml:space="preserve">지상하중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스위치 고장</t>
    </r>
  </si>
  <si>
    <t xml:space="preserve">NLG WOW Switch Failure</t>
  </si>
  <si>
    <r>
      <rPr>
        <sz val="10"/>
        <rFont val="Noto Sans CJK SC"/>
        <family val="2"/>
      </rPr>
      <t xml:space="preserve">비행 중 </t>
    </r>
    <r>
      <rPr>
        <sz val="10"/>
        <rFont val="Malgun Gothic"/>
        <family val="0"/>
        <charset val="1"/>
      </rPr>
      <t xml:space="preserve">AOA </t>
    </r>
    <r>
      <rPr>
        <sz val="10"/>
        <rFont val="Noto Sans CJK SC"/>
        <family val="2"/>
      </rPr>
      <t xml:space="preserve">지시 약 </t>
    </r>
    <r>
      <rPr>
        <sz val="10"/>
        <rFont val="Malgun Gothic"/>
        <family val="0"/>
        <charset val="1"/>
      </rPr>
      <t xml:space="preserve">0°, </t>
    </r>
    <r>
      <rPr>
        <sz val="10"/>
        <rFont val="Noto Sans CJK SC"/>
        <family val="2"/>
      </rPr>
      <t xml:space="preserve">스틱 </t>
    </r>
    <r>
      <rPr>
        <sz val="10"/>
        <rFont val="Malgun Gothic"/>
        <family val="0"/>
        <charset val="1"/>
      </rPr>
      <t xml:space="preserve">A/R DISC </t>
    </r>
    <r>
      <rPr>
        <sz val="10"/>
        <rFont val="Noto Sans CJK SC"/>
        <family val="2"/>
      </rPr>
      <t xml:space="preserve">불능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비행 중 </t>
    </r>
    <r>
      <rPr>
        <sz val="10"/>
        <rFont val="Malgun Gothic"/>
        <family val="0"/>
        <charset val="1"/>
      </rPr>
      <t xml:space="preserve">NWS </t>
    </r>
    <r>
      <rPr>
        <sz val="10"/>
        <rFont val="Noto Sans CJK SC"/>
        <family val="2"/>
      </rPr>
      <t xml:space="preserve">체결 가능 등 </t>
    </r>
    <r>
      <rPr>
        <sz val="10"/>
        <rFont val="Malgun Gothic"/>
        <family val="0"/>
        <charset val="1"/>
      </rPr>
      <t xml:space="preserve">WOW </t>
    </r>
    <r>
      <rPr>
        <sz val="10"/>
        <rFont val="Noto Sans CJK SC"/>
        <family val="2"/>
      </rPr>
      <t xml:space="preserve">지상 고착 징후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</si>
  <si>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(DCS 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— </t>
    </r>
    <r>
      <rPr>
        <sz val="10"/>
        <rFont val="Noto Sans CJK SC"/>
        <family val="2"/>
      </rPr>
      <t xml:space="preserve">참고</t>
    </r>
    <r>
      <rPr>
        <sz val="10"/>
        <rFont val="Malgun Gothic"/>
        <family val="0"/>
        <charset val="1"/>
      </rPr>
      <t xml:space="preserve">: AR/NWS </t>
    </r>
    <r>
      <rPr>
        <sz val="10"/>
        <rFont val="Noto Sans CJK SC"/>
        <family val="2"/>
      </rPr>
      <t xml:space="preserve">등 </t>
    </r>
    <r>
      <rPr>
        <sz val="10"/>
        <rFont val="Malgun Gothic"/>
        <family val="0"/>
        <charset val="1"/>
      </rPr>
      <t xml:space="preserve">OFF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SB&lt;43° → </t>
    </r>
    <r>
      <rPr>
        <sz val="10"/>
        <rFont val="Noto Sans CJK SC"/>
        <family val="2"/>
      </rPr>
      <t xml:space="preserve">파워온 스트레이트인</t>
    </r>
  </si>
  <si>
    <t xml:space="preserve">3-145</t>
  </si>
  <si>
    <t xml:space="preserve">E3-50</t>
  </si>
  <si>
    <t xml:space="preserve">드래그슈트 고장</t>
  </si>
  <si>
    <t xml:space="preserve">Drag Chute Failure</t>
  </si>
  <si>
    <r>
      <rPr>
        <sz val="10"/>
        <rFont val="Noto Sans CJK SC"/>
        <family val="2"/>
      </rPr>
      <t xml:space="preserve">착륙 활주 중 드래그슈트 미전개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이상으로 복행을 결정한 경우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</si>
  <si>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(DCS: </t>
    </r>
    <r>
      <rPr>
        <sz val="10"/>
        <rFont val="Noto Sans CJK SC"/>
        <family val="2"/>
      </rPr>
      <t xml:space="preserve">드래그슈트 없음</t>
    </r>
    <r>
      <rPr>
        <sz val="10"/>
        <rFont val="Malgun Gothic"/>
        <family val="0"/>
        <charset val="1"/>
      </rPr>
      <t xml:space="preserve">) — </t>
    </r>
    <r>
      <rPr>
        <sz val="10"/>
        <rFont val="Noto Sans CJK SC"/>
        <family val="2"/>
      </rPr>
      <t xml:space="preserve">복행 시 스로틀 </t>
    </r>
    <r>
      <rPr>
        <sz val="10"/>
        <rFont val="Malgun Gothic"/>
        <family val="0"/>
        <charset val="1"/>
      </rPr>
      <t xml:space="preserve">MAX AB·SB </t>
    </r>
    <r>
      <rPr>
        <sz val="10"/>
        <rFont val="Noto Sans CJK SC"/>
        <family val="2"/>
      </rPr>
      <t xml:space="preserve">닫기</t>
    </r>
  </si>
  <si>
    <t xml:space="preserve">SD-05</t>
  </si>
  <si>
    <r>
      <rPr>
        <sz val="10"/>
        <rFont val="Noto Sans CJK SC"/>
        <family val="2"/>
      </rPr>
      <t xml:space="preserve">비상 투하</t>
    </r>
    <r>
      <rPr>
        <sz val="10"/>
        <rFont val="Malgun Gothic"/>
        <family val="0"/>
        <charset val="1"/>
      </rPr>
      <t xml:space="preserve">(Emergency Jettison, E-J) </t>
    </r>
    <r>
      <rPr>
        <sz val="10"/>
        <rFont val="Noto Sans CJK SC"/>
        <family val="2"/>
      </rPr>
      <t xml:space="preserve">모드 운용</t>
    </r>
  </si>
  <si>
    <t xml:space="preserve">Emergency Jettison (E-J) Mode Page Operation</t>
  </si>
  <si>
    <r>
      <rPr>
        <sz val="10"/>
        <rFont val="Noto Sans CJK SC"/>
        <family val="2"/>
      </rPr>
      <t xml:space="preserve">이륙 중 엔진 이상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비상 착륙 필요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즉각 경량화가 요구되는 위협 회피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</si>
  <si>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 시 </t>
    </r>
    <r>
      <rPr>
        <sz val="10"/>
        <rFont val="Malgun Gothic"/>
        <family val="0"/>
        <charset val="1"/>
      </rPr>
      <t xml:space="preserve">GND JETT ENABLE) → EMER STORES JETTISON </t>
    </r>
    <r>
      <rPr>
        <sz val="10"/>
        <rFont val="Noto Sans CJK SC"/>
        <family val="2"/>
      </rPr>
      <t xml:space="preserve">버튼 누름 → 투기 확인</t>
    </r>
  </si>
  <si>
    <t xml:space="preserve">1-101</t>
  </si>
  <si>
    <t xml:space="preserve">IF-01</t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</si>
  <si>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비행 중 정렬 절차</t>
    </r>
  </si>
  <si>
    <t xml:space="preserve">INS Inflight Alignment Procedures</t>
  </si>
  <si>
    <r>
      <rPr>
        <sz val="10"/>
        <rFont val="Noto Sans CJK SC"/>
        <family val="2"/>
      </rPr>
      <t xml:space="preserve">비행 중 </t>
    </r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정렬 상실</t>
    </r>
    <r>
      <rPr>
        <sz val="10"/>
        <rFont val="Malgun Gothic"/>
        <family val="0"/>
        <charset val="1"/>
      </rPr>
      <t xml:space="preserve">(HUD ALIGN/STBY </t>
    </r>
    <r>
      <rPr>
        <sz val="10"/>
        <rFont val="Noto Sans CJK SC"/>
        <family val="2"/>
      </rPr>
      <t xml:space="preserve">니모닉</t>
    </r>
    <r>
      <rPr>
        <sz val="10"/>
        <rFont val="Malgun Gothic"/>
        <family val="0"/>
        <charset val="1"/>
      </rPr>
      <t xml:space="preserve">, ADI OFF </t>
    </r>
    <r>
      <rPr>
        <sz val="10"/>
        <rFont val="Noto Sans CJK SC"/>
        <family val="2"/>
      </rPr>
      <t xml:space="preserve">플래그</t>
    </r>
    <r>
      <rPr>
        <sz val="10"/>
        <rFont val="Malgun Gothic"/>
        <family val="0"/>
        <charset val="1"/>
      </rPr>
      <t xml:space="preserve">, DED FIX NECESSARY, </t>
    </r>
    <r>
      <rPr>
        <sz val="10"/>
        <rFont val="Noto Sans CJK SC"/>
        <family val="2"/>
      </rPr>
      <t xml:space="preserve">항법 드리프트 급증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발생 시</t>
    </r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</si>
  <si>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노브 </t>
    </r>
    <r>
      <rPr>
        <sz val="10"/>
        <rFont val="Malgun Gothic"/>
        <family val="0"/>
        <charset val="1"/>
      </rPr>
      <t xml:space="preserve">IN FLT ALIGN → </t>
    </r>
    <r>
      <rPr>
        <sz val="10"/>
        <rFont val="Noto Sans CJK SC"/>
        <family val="2"/>
      </rPr>
      <t xml:space="preserve">윙레벨 유지 → </t>
    </r>
    <r>
      <rPr>
        <sz val="10"/>
        <rFont val="Malgun Gothic"/>
        <family val="0"/>
        <charset val="1"/>
      </rPr>
      <t xml:space="preserve">DED INS </t>
    </r>
    <r>
      <rPr>
        <sz val="10"/>
        <rFont val="Noto Sans CJK SC"/>
        <family val="2"/>
      </rPr>
      <t xml:space="preserve">페이지 상태 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필요 시 방위 입력 </t>
    </r>
    <r>
      <rPr>
        <sz val="10"/>
        <rFont val="Malgun Gothic"/>
        <family val="0"/>
        <charset val="1"/>
      </rPr>
      <t xml:space="preserve">ENTR) → HUD ALIGN </t>
    </r>
    <r>
      <rPr>
        <sz val="10"/>
        <rFont val="Noto Sans CJK SC"/>
        <family val="2"/>
      </rPr>
      <t xml:space="preserve">완료 확인 → </t>
    </r>
    <r>
      <rPr>
        <sz val="10"/>
        <rFont val="Malgun Gothic"/>
        <family val="0"/>
        <charset val="1"/>
      </rPr>
      <t xml:space="preserve">NAV </t>
    </r>
    <r>
      <rPr>
        <sz val="10"/>
        <rFont val="Noto Sans CJK SC"/>
        <family val="2"/>
      </rPr>
      <t xml:space="preserve">복귀 → 필요 시 </t>
    </r>
    <r>
      <rPr>
        <sz val="10"/>
        <rFont val="Malgun Gothic"/>
        <family val="0"/>
        <charset val="1"/>
      </rPr>
      <t xml:space="preserve">FIX OFLY </t>
    </r>
    <r>
      <rPr>
        <sz val="10"/>
        <rFont val="Noto Sans CJK SC"/>
        <family val="2"/>
      </rPr>
      <t xml:space="preserve">반복</t>
    </r>
  </si>
  <si>
    <t xml:space="preserve">1-322</t>
  </si>
  <si>
    <t xml:space="preserve">AB-02</t>
  </si>
  <si>
    <r>
      <rPr>
        <sz val="10"/>
        <rFont val="Noto Sans CJK SC"/>
        <family val="2"/>
      </rPr>
      <t xml:space="preserve">경고급</t>
    </r>
    <r>
      <rPr>
        <sz val="10"/>
        <rFont val="Malgun Gothic"/>
        <family val="0"/>
        <charset val="1"/>
      </rPr>
      <t xml:space="preserve">(Warning) </t>
    </r>
    <r>
      <rPr>
        <sz val="10"/>
        <rFont val="Noto Sans CJK SC"/>
        <family val="2"/>
      </rPr>
      <t xml:space="preserve">결함 인지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소거 조치</t>
    </r>
  </si>
  <si>
    <t xml:space="preserve">Pilot Warning Fault Acknowledgment</t>
  </si>
  <si>
    <r>
      <rPr>
        <sz val="10"/>
        <rFont val="Noto Sans CJK SC"/>
        <family val="2"/>
      </rPr>
      <t xml:space="preserve">우측 글레어실드 </t>
    </r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적색 경고등 점등 </t>
    </r>
    <r>
      <rPr>
        <sz val="10"/>
        <rFont val="Malgun Gothic"/>
        <family val="0"/>
        <charset val="1"/>
      </rPr>
      <t xml:space="preserve">+ HUD</t>
    </r>
    <r>
      <rPr>
        <sz val="10"/>
        <rFont val="Noto Sans CJK SC"/>
        <family val="2"/>
      </rPr>
      <t xml:space="preserve">에 점멸 </t>
    </r>
    <r>
      <rPr>
        <sz val="10"/>
        <rFont val="Malgun Gothic"/>
        <family val="0"/>
        <charset val="1"/>
      </rPr>
      <t xml:space="preserve">WARNING </t>
    </r>
    <r>
      <rPr>
        <sz val="10"/>
        <rFont val="Noto Sans CJK SC"/>
        <family val="2"/>
      </rPr>
      <t xml:space="preserve">문구 표시</t>
    </r>
    <r>
      <rPr>
        <sz val="10"/>
        <rFont val="Malgun Gothic"/>
        <family val="0"/>
        <charset val="1"/>
      </rPr>
      <t xml:space="preserve">(5</t>
    </r>
    <r>
      <rPr>
        <sz val="10"/>
        <rFont val="Noto Sans CJK SC"/>
        <family val="2"/>
      </rPr>
      <t xml:space="preserve">초 후 </t>
    </r>
    <r>
      <rPr>
        <sz val="10"/>
        <rFont val="Malgun Gothic"/>
        <family val="0"/>
        <charset val="1"/>
      </rPr>
      <t xml:space="preserve">'WARNING' </t>
    </r>
    <r>
      <rPr>
        <sz val="10"/>
        <rFont val="Noto Sans CJK SC"/>
        <family val="2"/>
      </rPr>
      <t xml:space="preserve">음성경고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</si>
  <si>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FLCS </t>
    </r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/HUD WARNING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DRIFT C/O WARN RESET → F-ACK → FLCS RESET → </t>
    </r>
    <r>
      <rPr>
        <sz val="10"/>
        <rFont val="Noto Sans CJK SC"/>
        <family val="2"/>
      </rPr>
      <t xml:space="preserve">잔존 결함 확인</t>
    </r>
  </si>
  <si>
    <t xml:space="preserve">1-517</t>
  </si>
  <si>
    <t xml:space="preserve">AB-03</t>
  </si>
  <si>
    <r>
      <rPr>
        <sz val="10"/>
        <rFont val="Noto Sans CJK SC"/>
        <family val="2"/>
      </rPr>
      <t xml:space="preserve">코션급</t>
    </r>
    <r>
      <rPr>
        <sz val="10"/>
        <rFont val="Malgun Gothic"/>
        <family val="0"/>
        <charset val="1"/>
      </rPr>
      <t xml:space="preserve">(Caution) </t>
    </r>
    <r>
      <rPr>
        <sz val="10"/>
        <rFont val="Noto Sans CJK SC"/>
        <family val="2"/>
      </rPr>
      <t xml:space="preserve">결함 인지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소거 조치</t>
    </r>
  </si>
  <si>
    <t xml:space="preserve">Pilot Caution Fault Acknowledgment</t>
  </si>
  <si>
    <r>
      <rPr>
        <sz val="10"/>
        <rFont val="Noto Sans CJK SC"/>
        <family val="2"/>
      </rPr>
      <t xml:space="preserve">코션 패널의 </t>
    </r>
    <r>
      <rPr>
        <sz val="10"/>
        <rFont val="Malgun Gothic"/>
        <family val="0"/>
        <charset val="1"/>
      </rPr>
      <t xml:space="preserve">AVIONICS FAULT / ENGINE FAULT / FLCS FAULT </t>
    </r>
    <r>
      <rPr>
        <sz val="10"/>
        <rFont val="Noto Sans CJK SC"/>
        <family val="2"/>
      </rPr>
      <t xml:space="preserve">점등 </t>
    </r>
    <r>
      <rPr>
        <sz val="10"/>
        <rFont val="Malgun Gothic"/>
        <family val="0"/>
        <charset val="1"/>
      </rPr>
      <t xml:space="preserve">+ 3</t>
    </r>
    <r>
      <rPr>
        <sz val="10"/>
        <rFont val="Noto Sans CJK SC"/>
        <family val="2"/>
      </rPr>
      <t xml:space="preserve">초 후 </t>
    </r>
    <r>
      <rPr>
        <sz val="10"/>
        <rFont val="Malgun Gothic"/>
        <family val="0"/>
        <charset val="1"/>
      </rPr>
      <t xml:space="preserve">MASTER CAUTION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(7</t>
    </r>
    <r>
      <rPr>
        <sz val="10"/>
        <rFont val="Noto Sans CJK SC"/>
        <family val="2"/>
      </rPr>
      <t xml:space="preserve">초 후 </t>
    </r>
    <r>
      <rPr>
        <sz val="10"/>
        <rFont val="Malgun Gothic"/>
        <family val="0"/>
        <charset val="1"/>
      </rPr>
      <t xml:space="preserve">'CAUTION' </t>
    </r>
    <r>
      <rPr>
        <sz val="10"/>
        <rFont val="Noto Sans CJK SC"/>
        <family val="2"/>
      </rPr>
      <t xml:space="preserve">음성경고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</si>
  <si>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MASTER CAUTION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PFLD </t>
    </r>
    <r>
      <rPr>
        <sz val="10"/>
        <rFont val="Noto Sans CJK SC"/>
        <family val="2"/>
      </rPr>
      <t xml:space="preserve">판독 → </t>
    </r>
    <r>
      <rPr>
        <sz val="10"/>
        <rFont val="Malgun Gothic"/>
        <family val="0"/>
        <charset val="1"/>
      </rPr>
      <t xml:space="preserve">MASTER CAUTION </t>
    </r>
    <r>
      <rPr>
        <sz val="10"/>
        <rFont val="Noto Sans CJK SC"/>
        <family val="2"/>
      </rPr>
      <t xml:space="preserve">리셋</t>
    </r>
    <r>
      <rPr>
        <sz val="10"/>
        <rFont val="Malgun Gothic"/>
        <family val="0"/>
        <charset val="1"/>
      </rPr>
      <t xml:space="preserve">/F-ACK → (FLCS </t>
    </r>
    <r>
      <rPr>
        <sz val="10"/>
        <rFont val="Noto Sans CJK SC"/>
        <family val="2"/>
      </rPr>
      <t xml:space="preserve">관련</t>
    </r>
    <r>
      <rPr>
        <sz val="10"/>
        <rFont val="Malgun Gothic"/>
        <family val="0"/>
        <charset val="1"/>
      </rPr>
      <t xml:space="preserve">) FLCS RESET</t>
    </r>
  </si>
  <si>
    <t xml:space="preserve">AB-04</t>
  </si>
  <si>
    <r>
      <rPr>
        <sz val="10"/>
        <rFont val="Noto Sans CJK SC"/>
        <family val="2"/>
      </rPr>
      <t xml:space="preserve">조종사결함목록</t>
    </r>
    <r>
      <rPr>
        <sz val="10"/>
        <rFont val="Malgun Gothic"/>
        <family val="0"/>
        <charset val="1"/>
      </rPr>
      <t xml:space="preserve">(PFL) </t>
    </r>
    <r>
      <rPr>
        <sz val="10"/>
        <rFont val="Noto Sans CJK SC"/>
        <family val="2"/>
      </rPr>
      <t xml:space="preserve">절차</t>
    </r>
  </si>
  <si>
    <t xml:space="preserve">Pilot Fault List (PFL) Procedures</t>
  </si>
  <si>
    <r>
      <rPr>
        <sz val="10"/>
        <rFont val="Malgun Gothic"/>
        <family val="0"/>
        <charset val="1"/>
      </rPr>
      <t xml:space="preserve">MASTER CAUTION + AVIONICS FAULT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ENGINE FAULT </t>
    </r>
    <r>
      <rPr>
        <sz val="10"/>
        <rFont val="Noto Sans CJK SC"/>
        <family val="2"/>
      </rPr>
      <t xml:space="preserve">코션등 점등 시</t>
    </r>
  </si>
  <si>
    <r>
      <rPr>
        <sz val="10"/>
        <rFont val="Malgun Gothic"/>
        <family val="0"/>
        <charset val="1"/>
      </rPr>
      <t xml:space="preserve">MASTER CAUTION → </t>
    </r>
    <r>
      <rPr>
        <sz val="10"/>
        <rFont val="Noto Sans CJK SC"/>
        <family val="2"/>
      </rPr>
      <t xml:space="preserve">코션 패널 확인 → </t>
    </r>
    <r>
      <rPr>
        <sz val="10"/>
        <rFont val="Malgun Gothic"/>
        <family val="0"/>
        <charset val="1"/>
      </rPr>
      <t xml:space="preserve">PFLD </t>
    </r>
    <r>
      <rPr>
        <sz val="10"/>
        <rFont val="Noto Sans CJK SC"/>
        <family val="2"/>
      </rPr>
      <t xml:space="preserve">판독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필요 시 </t>
    </r>
    <r>
      <rPr>
        <sz val="10"/>
        <rFont val="Malgun Gothic"/>
        <family val="0"/>
        <charset val="1"/>
      </rPr>
      <t xml:space="preserve">DED Data=PFL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) → F-ACK → </t>
    </r>
    <r>
      <rPr>
        <sz val="10"/>
        <rFont val="Noto Sans CJK SC"/>
        <family val="2"/>
      </rPr>
      <t xml:space="preserve">잔존 결함 재확인</t>
    </r>
  </si>
  <si>
    <t xml:space="preserve">1-518</t>
  </si>
  <si>
    <t xml:space="preserve">AB-05</t>
  </si>
  <si>
    <r>
      <rPr>
        <sz val="10"/>
        <rFont val="Noto Sans CJK SC"/>
        <family val="2"/>
      </rPr>
      <t xml:space="preserve">항법포드</t>
    </r>
    <r>
      <rPr>
        <sz val="10"/>
        <rFont val="Malgun Gothic"/>
        <family val="0"/>
        <charset val="1"/>
      </rPr>
      <t xml:space="preserve">(NVP) </t>
    </r>
    <r>
      <rPr>
        <sz val="10"/>
        <rFont val="Noto Sans CJK SC"/>
        <family val="2"/>
      </rPr>
      <t xml:space="preserve">전원 재순환 절차</t>
    </r>
  </si>
  <si>
    <t xml:space="preserve">Navigation Pod (NVP) Power Recycling Procedures</t>
  </si>
  <si>
    <r>
      <rPr>
        <sz val="10"/>
        <rFont val="Malgun Gothic"/>
        <family val="0"/>
        <charset val="1"/>
      </rPr>
      <t xml:space="preserve">NVP </t>
    </r>
    <r>
      <rPr>
        <sz val="10"/>
        <rFont val="Noto Sans CJK SC"/>
        <family val="2"/>
      </rPr>
      <t xml:space="preserve">관련 </t>
    </r>
    <r>
      <rPr>
        <sz val="10"/>
        <rFont val="Malgun Gothic"/>
        <family val="0"/>
        <charset val="1"/>
      </rPr>
      <t xml:space="preserve">PFL </t>
    </r>
    <r>
      <rPr>
        <sz val="10"/>
        <rFont val="Noto Sans CJK SC"/>
        <family val="2"/>
      </rPr>
      <t xml:space="preserve">결함</t>
    </r>
    <r>
      <rPr>
        <sz val="10"/>
        <rFont val="Malgun Gothic"/>
        <family val="0"/>
        <charset val="1"/>
      </rPr>
      <t xml:space="preserve">(NVP BUS FAIL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표시 또는 </t>
    </r>
    <r>
      <rPr>
        <sz val="10"/>
        <rFont val="Malgun Gothic"/>
        <family val="0"/>
        <charset val="1"/>
      </rPr>
      <t xml:space="preserve">TFR/FLIR </t>
    </r>
    <r>
      <rPr>
        <sz val="10"/>
        <rFont val="Noto Sans CJK SC"/>
        <family val="2"/>
      </rPr>
      <t xml:space="preserve">페이지 응답 없음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</si>
  <si>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NVP </t>
    </r>
    <r>
      <rPr>
        <sz val="10"/>
        <rFont val="Noto Sans CJK SC"/>
        <family val="2"/>
      </rPr>
      <t xml:space="preserve">없음 — </t>
    </r>
    <r>
      <rPr>
        <sz val="10"/>
        <rFont val="Malgun Gothic"/>
        <family val="0"/>
        <charset val="1"/>
      </rPr>
      <t xml:space="preserve">LEFT HDPT</t>
    </r>
    <r>
      <rPr>
        <sz val="10"/>
        <rFont val="Noto Sans CJK SC"/>
        <family val="2"/>
      </rPr>
      <t xml:space="preserve">는 </t>
    </r>
    <r>
      <rPr>
        <sz val="10"/>
        <rFont val="Malgun Gothic"/>
        <family val="0"/>
        <charset val="1"/>
      </rPr>
      <t xml:space="preserve">HTS </t>
    </r>
    <r>
      <rPr>
        <sz val="10"/>
        <rFont val="Noto Sans CJK SC"/>
        <family val="2"/>
      </rPr>
      <t xml:space="preserve">포드 전원</t>
    </r>
  </si>
  <si>
    <t xml:space="preserve">1-519</t>
  </si>
  <si>
    <t xml:space="preserve">AB-06</t>
  </si>
  <si>
    <r>
      <rPr>
        <sz val="10"/>
        <rFont val="Noto Sans CJK SC"/>
        <family val="2"/>
      </rPr>
      <t xml:space="preserve">항법포드</t>
    </r>
    <r>
      <rPr>
        <sz val="10"/>
        <rFont val="Malgun Gothic"/>
        <family val="0"/>
        <charset val="1"/>
      </rPr>
      <t xml:space="preserve">(NVP) </t>
    </r>
    <r>
      <rPr>
        <sz val="10"/>
        <rFont val="Noto Sans CJK SC"/>
        <family val="2"/>
      </rPr>
      <t xml:space="preserve">결함별 복구 조치</t>
    </r>
  </si>
  <si>
    <t xml:space="preserve">Navigation Pod (NVP) Recovery Procedures</t>
  </si>
  <si>
    <r>
      <rPr>
        <sz val="10"/>
        <rFont val="Malgun Gothic"/>
        <family val="0"/>
        <charset val="1"/>
      </rPr>
      <t xml:space="preserve">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NVP ... FAIL / SWIM ... FAIL </t>
    </r>
    <r>
      <rPr>
        <sz val="10"/>
        <rFont val="Noto Sans CJK SC"/>
        <family val="2"/>
      </rPr>
      <t xml:space="preserve">계열 결함 표시 시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</si>
  <si>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NVP/TFR/FLIR </t>
    </r>
    <r>
      <rPr>
        <sz val="10"/>
        <rFont val="Noto Sans CJK SC"/>
        <family val="2"/>
      </rPr>
      <t xml:space="preserve">결함 복구 — </t>
    </r>
    <r>
      <rPr>
        <sz val="10"/>
        <rFont val="Malgun Gothic"/>
        <family val="0"/>
        <charset val="1"/>
      </rPr>
      <t xml:space="preserve">DCS </t>
    </r>
    <r>
      <rPr>
        <sz val="10"/>
        <rFont val="Noto Sans CJK SC"/>
        <family val="2"/>
      </rPr>
      <t xml:space="preserve">해당 없음</t>
    </r>
  </si>
  <si>
    <t xml:space="preserve">1-519 ~ 1-520</t>
  </si>
  <si>
    <t xml:space="preserve">AB-09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</si>
  <si>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구성품 고장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결함표시 </t>
    </r>
    <r>
      <rPr>
        <sz val="10"/>
        <rFont val="Malgun Gothic"/>
        <family val="0"/>
        <charset val="1"/>
      </rPr>
      <t xml:space="preserve">(SMS/MFD </t>
    </r>
    <r>
      <rPr>
        <sz val="10"/>
        <rFont val="Noto Sans CJK SC"/>
        <family val="2"/>
      </rPr>
      <t xml:space="preserve">고장</t>
    </r>
    <r>
      <rPr>
        <sz val="10"/>
        <rFont val="Malgun Gothic"/>
        <family val="0"/>
        <charset val="1"/>
      </rPr>
      <t xml:space="preserve">)</t>
    </r>
  </si>
  <si>
    <t xml:space="preserve">SMS Component Failure / Failure Displays (SMS/MFD Failure)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</si>
  <si>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페이지 무장 상태 블록에 </t>
    </r>
    <r>
      <rPr>
        <sz val="10"/>
        <rFont val="Malgun Gothic"/>
        <family val="0"/>
        <charset val="1"/>
      </rPr>
      <t xml:space="preserve">RDY </t>
    </r>
    <r>
      <rPr>
        <sz val="10"/>
        <rFont val="Noto Sans CJK SC"/>
        <family val="2"/>
      </rPr>
      <t xml:space="preserve">대신 </t>
    </r>
    <r>
      <rPr>
        <sz val="10"/>
        <rFont val="Malgun Gothic"/>
        <family val="0"/>
        <charset val="1"/>
      </rPr>
      <t xml:space="preserve">MAL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신관 옵션 위치에 </t>
    </r>
    <r>
      <rPr>
        <sz val="10"/>
        <rFont val="Malgun Gothic"/>
        <family val="0"/>
        <charset val="1"/>
      </rPr>
      <t xml:space="preserve">MAL </t>
    </r>
    <r>
      <rPr>
        <sz val="10"/>
        <rFont val="Noto Sans CJK SC"/>
        <family val="2"/>
      </rPr>
      <t xml:space="preserve">표시</t>
    </r>
  </si>
  <si>
    <r>
      <rPr>
        <sz val="10"/>
        <rFont val="Malgun Gothic"/>
        <family val="0"/>
        <charset val="1"/>
      </rPr>
      <t xml:space="preserve">SMS RDY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비정상</t>
    </r>
    <r>
      <rPr>
        <sz val="10"/>
        <rFont val="Malgun Gothic"/>
        <family val="0"/>
        <charset val="1"/>
      </rPr>
      <t xml:space="preserve">) MASTER ARM/</t>
    </r>
    <r>
      <rPr>
        <sz val="10"/>
        <rFont val="Noto Sans CJK SC"/>
        <family val="2"/>
      </rPr>
      <t xml:space="preserve">모드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무장 재확인 → </t>
    </r>
    <r>
      <rPr>
        <sz val="10"/>
        <rFont val="Malgun Gothic"/>
        <family val="0"/>
        <charset val="1"/>
      </rPr>
      <t xml:space="preserve">MFD </t>
    </r>
    <r>
      <rPr>
        <sz val="10"/>
        <rFont val="Noto Sans CJK SC"/>
        <family val="2"/>
      </rPr>
      <t xml:space="preserve">고장 시 </t>
    </r>
    <r>
      <rPr>
        <sz val="10"/>
        <rFont val="Malgun Gothic"/>
        <family val="0"/>
        <charset val="1"/>
      </rPr>
      <t xml:space="preserve">SWAP/DMS</t>
    </r>
    <r>
      <rPr>
        <sz val="10"/>
        <rFont val="Noto Sans CJK SC"/>
        <family val="2"/>
      </rPr>
      <t xml:space="preserve">로 대체 표시</t>
    </r>
  </si>
  <si>
    <t xml:space="preserve">AB-07</t>
  </si>
  <si>
    <r>
      <rPr>
        <sz val="10"/>
        <rFont val="Noto Sans CJK SC"/>
        <family val="2"/>
      </rPr>
      <t xml:space="preserve">표적지시포드</t>
    </r>
    <r>
      <rPr>
        <sz val="10"/>
        <rFont val="Malgun Gothic"/>
        <family val="0"/>
        <charset val="1"/>
      </rPr>
      <t xml:space="preserve">(TGP) </t>
    </r>
    <r>
      <rPr>
        <sz val="10"/>
        <rFont val="Noto Sans CJK SC"/>
        <family val="2"/>
      </rPr>
      <t xml:space="preserve">하드포인트 전원 재순환 절차</t>
    </r>
  </si>
  <si>
    <t xml:space="preserve">Targeting Pod (TGP) Hard Point Power Recycling Procedures</t>
  </si>
  <si>
    <r>
      <rPr>
        <sz val="10"/>
        <rFont val="Malgun Gothic"/>
        <family val="0"/>
        <charset val="1"/>
      </rPr>
      <t xml:space="preserve">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TGP BUS FAIL / TGP FAIL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페이지가 응답하지 않거나 비디오가 사라질 때</t>
    </r>
  </si>
  <si>
    <r>
      <rPr>
        <sz val="10"/>
        <rFont val="Malgun Gothic"/>
        <family val="0"/>
        <charset val="1"/>
      </rPr>
      <t xml:space="preserve">LASER ARM OFF → TMS DOWN(</t>
    </r>
    <r>
      <rPr>
        <sz val="10"/>
        <rFont val="Noto Sans CJK SC"/>
        <family val="2"/>
      </rPr>
      <t xml:space="preserve">트랙 해제</t>
    </r>
    <r>
      <rPr>
        <sz val="10"/>
        <rFont val="Malgun Gothic"/>
        <family val="0"/>
        <charset val="1"/>
      </rPr>
      <t xml:space="preserve">) → TGP STBY → RIGHT HDPT OFF → (</t>
    </r>
    <r>
      <rPr>
        <sz val="10"/>
        <rFont val="Noto Sans CJK SC"/>
        <family val="2"/>
      </rPr>
      <t xml:space="preserve">대기</t>
    </r>
    <r>
      <rPr>
        <sz val="10"/>
        <rFont val="Malgun Gothic"/>
        <family val="0"/>
        <charset val="1"/>
      </rPr>
      <t xml:space="preserve">) RIGHT HDPT ON → 3</t>
    </r>
    <r>
      <rPr>
        <sz val="10"/>
        <rFont val="Noto Sans CJK SC"/>
        <family val="2"/>
      </rPr>
      <t xml:space="preserve">분 냉각 → </t>
    </r>
    <r>
      <rPr>
        <sz val="10"/>
        <rFont val="Malgun Gothic"/>
        <family val="0"/>
        <charset val="1"/>
      </rPr>
      <t xml:space="preserve">A-G/LASER </t>
    </r>
    <r>
      <rPr>
        <sz val="10"/>
        <rFont val="Noto Sans CJK SC"/>
        <family val="2"/>
      </rPr>
      <t xml:space="preserve">재설정</t>
    </r>
  </si>
  <si>
    <t xml:space="preserve">1-521</t>
  </si>
  <si>
    <t xml:space="preserve">AB-08</t>
  </si>
  <si>
    <r>
      <rPr>
        <sz val="10"/>
        <rFont val="Noto Sans CJK SC"/>
        <family val="2"/>
      </rPr>
      <t xml:space="preserve">표적지시포드</t>
    </r>
    <r>
      <rPr>
        <sz val="10"/>
        <rFont val="Malgun Gothic"/>
        <family val="0"/>
        <charset val="1"/>
      </rPr>
      <t xml:space="preserve">(TGP) </t>
    </r>
    <r>
      <rPr>
        <sz val="10"/>
        <rFont val="Noto Sans CJK SC"/>
        <family val="2"/>
      </rPr>
      <t xml:space="preserve">결함별 복구 조치</t>
    </r>
  </si>
  <si>
    <t xml:space="preserve">Targeting Pod (TGP) Recovery</t>
  </si>
  <si>
    <r>
      <rPr>
        <sz val="10"/>
        <rFont val="Malgun Gothic"/>
        <family val="0"/>
        <charset val="1"/>
      </rPr>
      <t xml:space="preserve">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TGP TRK/HNDF/LASR/FLIR/TEMP/DEGR </t>
    </r>
    <r>
      <rPr>
        <sz val="10"/>
        <rFont val="Noto Sans CJK SC"/>
        <family val="2"/>
      </rPr>
      <t xml:space="preserve">계열 결함 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비디오 소실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핸드오프 실패</t>
    </r>
  </si>
  <si>
    <r>
      <rPr>
        <sz val="10"/>
        <rFont val="Noto Sans CJK SC"/>
        <family val="2"/>
      </rPr>
      <t xml:space="preserve">결함코드 판독 → </t>
    </r>
    <r>
      <rPr>
        <sz val="10"/>
        <rFont val="Malgun Gothic"/>
        <family val="0"/>
        <charset val="1"/>
      </rPr>
      <t xml:space="preserve">STBY↔A-G </t>
    </r>
    <r>
      <rPr>
        <sz val="10"/>
        <rFont val="Noto Sans CJK SC"/>
        <family val="2"/>
      </rPr>
      <t xml:space="preserve">사이클 → </t>
    </r>
    <r>
      <rPr>
        <sz val="10"/>
        <rFont val="Malgun Gothic"/>
        <family val="0"/>
        <charset val="1"/>
      </rPr>
      <t xml:space="preserve">RIGHT HDPT </t>
    </r>
    <r>
      <rPr>
        <sz val="10"/>
        <rFont val="Noto Sans CJK SC"/>
        <family val="2"/>
      </rPr>
      <t xml:space="preserve">재순환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핸드오프 실패</t>
    </r>
    <r>
      <rPr>
        <sz val="10"/>
        <rFont val="Malgun Gothic"/>
        <family val="0"/>
        <charset val="1"/>
      </rPr>
      <t xml:space="preserve">) WPN </t>
    </r>
    <r>
      <rPr>
        <sz val="10"/>
        <rFont val="Noto Sans CJK SC"/>
        <family val="2"/>
      </rPr>
      <t xml:space="preserve">상태문자 확인</t>
    </r>
    <r>
      <rPr>
        <sz val="10"/>
        <rFont val="Malgun Gothic"/>
        <family val="0"/>
        <charset val="1"/>
      </rPr>
      <t xml:space="preserve">·BSGT </t>
    </r>
    <r>
      <rPr>
        <sz val="10"/>
        <rFont val="Noto Sans CJK SC"/>
        <family val="2"/>
      </rPr>
      <t xml:space="preserve">재수행</t>
    </r>
  </si>
  <si>
    <t xml:space="preserve">1-521 ~ 1-522</t>
  </si>
  <si>
    <t xml:space="preserve">AB-10</t>
  </si>
  <si>
    <r>
      <rPr>
        <sz val="10"/>
        <rFont val="Noto Sans CJK SC"/>
        <family val="2"/>
      </rPr>
      <t xml:space="preserve">자유낙하 무장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디스펜서 결함표시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요약</t>
    </r>
    <r>
      <rPr>
        <sz val="10"/>
        <rFont val="Malgun Gothic"/>
        <family val="0"/>
        <charset val="1"/>
      </rPr>
      <t xml:space="preserve">)</t>
    </r>
  </si>
  <si>
    <t xml:space="preserve">Freefall Munitions and Dispensers Fault Displays (Summary)</t>
  </si>
  <si>
    <r>
      <rPr>
        <sz val="10"/>
        <rFont val="Noto Sans CJK SC"/>
        <family val="2"/>
      </rPr>
      <t xml:space="preserve">폭탄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디스펜서 선택 후 </t>
    </r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무장 상태에 </t>
    </r>
    <r>
      <rPr>
        <sz val="10"/>
        <rFont val="Malgun Gothic"/>
        <family val="0"/>
        <charset val="1"/>
      </rPr>
      <t xml:space="preserve">MAL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방출 불가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</si>
  <si>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상태 확인 → </t>
    </r>
    <r>
      <rPr>
        <sz val="10"/>
        <rFont val="Malgun Gothic"/>
        <family val="0"/>
        <charset val="1"/>
      </rPr>
      <t xml:space="preserve">PAIR </t>
    </r>
    <r>
      <rPr>
        <sz val="10"/>
        <rFont val="Noto Sans CJK SC"/>
        <family val="2"/>
      </rPr>
      <t xml:space="preserve">선택 → </t>
    </r>
    <r>
      <rPr>
        <sz val="10"/>
        <rFont val="Malgun Gothic"/>
        <family val="0"/>
        <charset val="1"/>
      </rPr>
      <t xml:space="preserve">Release Pulse ≥2 → </t>
    </r>
    <r>
      <rPr>
        <sz val="10"/>
        <rFont val="Noto Sans CJK SC"/>
        <family val="2"/>
      </rPr>
      <t xml:space="preserve">퓨즈 옵션 재확인 → </t>
    </r>
    <r>
      <rPr>
        <sz val="10"/>
        <rFont val="Malgun Gothic"/>
        <family val="0"/>
        <charset val="1"/>
      </rPr>
      <t xml:space="preserve">RDY</t>
    </r>
  </si>
  <si>
    <t xml:space="preserve">1-523 ~ 1-524</t>
  </si>
  <si>
    <t xml:space="preserve">AB-11</t>
  </si>
  <si>
    <r>
      <rPr>
        <sz val="10"/>
        <rFont val="Noto Sans CJK SC"/>
        <family val="2"/>
      </rPr>
      <t xml:space="preserve">로켓 결함표시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요약</t>
    </r>
    <r>
      <rPr>
        <sz val="10"/>
        <rFont val="Malgun Gothic"/>
        <family val="0"/>
        <charset val="1"/>
      </rPr>
      <t xml:space="preserve">)</t>
    </r>
  </si>
  <si>
    <t xml:space="preserve">Rocket Fault Displays (Summary)</t>
  </si>
  <si>
    <r>
      <rPr>
        <sz val="10"/>
        <rFont val="Noto Sans CJK SC"/>
        <family val="2"/>
      </rPr>
      <t xml:space="preserve">로켓 선택 후 </t>
    </r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무장 상태에 </t>
    </r>
    <r>
      <rPr>
        <sz val="10"/>
        <rFont val="Malgun Gothic"/>
        <family val="0"/>
        <charset val="1"/>
      </rPr>
      <t xml:space="preserve">MAL </t>
    </r>
    <r>
      <rPr>
        <sz val="10"/>
        <rFont val="Noto Sans CJK SC"/>
        <family val="2"/>
      </rPr>
      <t xml:space="preserve">표시</t>
    </r>
  </si>
  <si>
    <r>
      <rPr>
        <sz val="10"/>
        <rFont val="Malgun Gothic"/>
        <family val="0"/>
        <charset val="1"/>
      </rPr>
      <t xml:space="preserve">SMS Rockets → RDY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이상 시</t>
    </r>
    <r>
      <rPr>
        <sz val="10"/>
        <rFont val="Malgun Gothic"/>
        <family val="0"/>
        <charset val="1"/>
      </rPr>
      <t xml:space="preserve">) PAIR </t>
    </r>
    <r>
      <rPr>
        <sz val="10"/>
        <rFont val="Noto Sans CJK SC"/>
        <family val="2"/>
      </rPr>
      <t xml:space="preserve">선택</t>
    </r>
  </si>
  <si>
    <t xml:space="preserve">1-525</t>
  </si>
  <si>
    <t xml:space="preserve">AB-12</t>
  </si>
  <si>
    <r>
      <rPr>
        <sz val="10"/>
        <rFont val="Malgun Gothic"/>
        <family val="0"/>
        <charset val="1"/>
      </rPr>
      <t xml:space="preserve">AGM-65 </t>
    </r>
    <r>
      <rPr>
        <sz val="10"/>
        <rFont val="Noto Sans CJK SC"/>
        <family val="2"/>
      </rPr>
      <t xml:space="preserve">결함표시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요약</t>
    </r>
    <r>
      <rPr>
        <sz val="10"/>
        <rFont val="Malgun Gothic"/>
        <family val="0"/>
        <charset val="1"/>
      </rPr>
      <t xml:space="preserve">)</t>
    </r>
  </si>
  <si>
    <t xml:space="preserve">AGM-65 Fault Displays (Summary)</t>
  </si>
  <si>
    <r>
      <rPr>
        <sz val="10"/>
        <rFont val="Malgun Gothic"/>
        <family val="0"/>
        <charset val="1"/>
      </rPr>
      <t xml:space="preserve">AGM-65 </t>
    </r>
    <r>
      <rPr>
        <sz val="10"/>
        <rFont val="Noto Sans CJK SC"/>
        <family val="2"/>
      </rPr>
      <t xml:space="preserve">선택 후 </t>
    </r>
    <r>
      <rPr>
        <sz val="10"/>
        <rFont val="Malgun Gothic"/>
        <family val="0"/>
        <charset val="1"/>
      </rPr>
      <t xml:space="preserve">WPN </t>
    </r>
    <r>
      <rPr>
        <sz val="10"/>
        <rFont val="Noto Sans CJK SC"/>
        <family val="2"/>
      </rPr>
      <t xml:space="preserve">페이지에 </t>
    </r>
    <r>
      <rPr>
        <sz val="10"/>
        <rFont val="Malgun Gothic"/>
        <family val="0"/>
        <charset val="1"/>
      </rPr>
      <t xml:space="preserve">'NOT TIMED OUT'/STBY</t>
    </r>
    <r>
      <rPr>
        <sz val="10"/>
        <rFont val="Noto Sans CJK SC"/>
        <family val="2"/>
      </rPr>
      <t xml:space="preserve">가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분 이상 지속되거나 비디오가 나오지 않을 때</t>
    </r>
  </si>
  <si>
    <r>
      <rPr>
        <sz val="10"/>
        <rFont val="Malgun Gothic"/>
        <family val="0"/>
        <charset val="1"/>
      </rPr>
      <t xml:space="preserve">WPN </t>
    </r>
    <r>
      <rPr>
        <sz val="10"/>
        <rFont val="Noto Sans CJK SC"/>
        <family val="2"/>
      </rPr>
      <t xml:space="preserve">페이지 </t>
    </r>
    <r>
      <rPr>
        <sz val="10"/>
        <rFont val="Malgun Gothic"/>
        <family val="0"/>
        <charset val="1"/>
      </rPr>
      <t xml:space="preserve">STBY/OPER·NOT TIMED OUT </t>
    </r>
    <r>
      <rPr>
        <sz val="10"/>
        <rFont val="Noto Sans CJK SC"/>
        <family val="2"/>
      </rPr>
      <t xml:space="preserve">확인 → 비행 중 </t>
    </r>
    <r>
      <rPr>
        <sz val="10"/>
        <rFont val="Malgun Gothic"/>
        <family val="0"/>
        <charset val="1"/>
      </rPr>
      <t xml:space="preserve">PWR ON </t>
    </r>
    <r>
      <rPr>
        <sz val="10"/>
        <rFont val="Noto Sans CJK SC"/>
        <family val="2"/>
      </rPr>
      <t xml:space="preserve">확인 → 스테이션 전환 비교 → </t>
    </r>
    <r>
      <rPr>
        <sz val="10"/>
        <rFont val="Malgun Gothic"/>
        <family val="0"/>
        <charset val="1"/>
      </rPr>
      <t xml:space="preserve">PWR </t>
    </r>
    <r>
      <rPr>
        <sz val="10"/>
        <rFont val="Noto Sans CJK SC"/>
        <family val="2"/>
      </rPr>
      <t xml:space="preserve">재순환</t>
    </r>
  </si>
  <si>
    <t xml:space="preserve">AB-13</t>
  </si>
  <si>
    <r>
      <rPr>
        <sz val="10"/>
        <rFont val="Malgun Gothic"/>
        <family val="0"/>
        <charset val="1"/>
      </rPr>
      <t xml:space="preserve">AIM-9 </t>
    </r>
    <r>
      <rPr>
        <sz val="10"/>
        <rFont val="Noto Sans CJK SC"/>
        <family val="2"/>
      </rPr>
      <t xml:space="preserve">결함표시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요약</t>
    </r>
    <r>
      <rPr>
        <sz val="10"/>
        <rFont val="Malgun Gothic"/>
        <family val="0"/>
        <charset val="1"/>
      </rPr>
      <t xml:space="preserve">)</t>
    </r>
  </si>
  <si>
    <t xml:space="preserve">AIM-9 Fault Displays (Summary)</t>
  </si>
  <si>
    <r>
      <rPr>
        <sz val="10"/>
        <rFont val="Malgun Gothic"/>
        <family val="0"/>
        <charset val="1"/>
      </rPr>
      <t xml:space="preserve">AIM-9 </t>
    </r>
    <r>
      <rPr>
        <sz val="10"/>
        <rFont val="Noto Sans CJK SC"/>
        <family val="2"/>
      </rPr>
      <t xml:space="preserve">선택 후 </t>
    </r>
    <r>
      <rPr>
        <sz val="10"/>
        <rFont val="Malgun Gothic"/>
        <family val="0"/>
        <charset val="1"/>
      </rPr>
      <t xml:space="preserve">RDY </t>
    </r>
    <r>
      <rPr>
        <sz val="10"/>
        <rFont val="Noto Sans CJK SC"/>
        <family val="2"/>
      </rPr>
      <t xml:space="preserve">대신 </t>
    </r>
    <r>
      <rPr>
        <sz val="10"/>
        <rFont val="Malgun Gothic"/>
        <family val="0"/>
        <charset val="1"/>
      </rPr>
      <t xml:space="preserve">MAL/</t>
    </r>
    <r>
      <rPr>
        <sz val="10"/>
        <rFont val="Noto Sans CJK SC"/>
        <family val="2"/>
      </rPr>
      <t xml:space="preserve">블랭크 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시커 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시커 심볼 부재</t>
    </r>
    <r>
      <rPr>
        <sz val="10"/>
        <rFont val="Malgun Gothic"/>
        <family val="0"/>
        <charset val="1"/>
      </rPr>
      <t xml:space="preserve">, COOL </t>
    </r>
    <r>
      <rPr>
        <sz val="10"/>
        <rFont val="Noto Sans CJK SC"/>
        <family val="2"/>
      </rPr>
      <t xml:space="preserve">명령 후 </t>
    </r>
    <r>
      <rPr>
        <sz val="10"/>
        <rFont val="Malgun Gothic"/>
        <family val="0"/>
        <charset val="1"/>
      </rPr>
      <t xml:space="preserve">WARM </t>
    </r>
    <r>
      <rPr>
        <sz val="10"/>
        <rFont val="Noto Sans CJK SC"/>
        <family val="2"/>
      </rPr>
      <t xml:space="preserve">잔존</t>
    </r>
    <r>
      <rPr>
        <sz val="10"/>
        <rFont val="Malgun Gothic"/>
        <family val="0"/>
        <charset val="1"/>
      </rPr>
      <t xml:space="preserve">, BORE/SLAVE·SPOT/SCAN </t>
    </r>
    <r>
      <rPr>
        <sz val="10"/>
        <rFont val="Noto Sans CJK SC"/>
        <family val="2"/>
      </rPr>
      <t xml:space="preserve">토글 복귀</t>
    </r>
  </si>
  <si>
    <r>
      <rPr>
        <sz val="10"/>
        <rFont val="Malgun Gothic"/>
        <family val="0"/>
        <charset val="1"/>
      </rPr>
      <t xml:space="preserve">MASTER ARM/RDY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MSL STEP</t>
    </r>
    <r>
      <rPr>
        <sz val="10"/>
        <rFont val="Noto Sans CJK SC"/>
        <family val="2"/>
      </rPr>
      <t xml:space="preserve">로 스테이션 변경 → 언케이지 재시도 → </t>
    </r>
    <r>
      <rPr>
        <sz val="10"/>
        <rFont val="Malgun Gothic"/>
        <family val="0"/>
        <charset val="1"/>
      </rPr>
      <t xml:space="preserve">COOL </t>
    </r>
    <r>
      <rPr>
        <sz val="10"/>
        <rFont val="Noto Sans CJK SC"/>
        <family val="2"/>
      </rPr>
      <t xml:space="preserve">재선택 → </t>
    </r>
    <r>
      <rPr>
        <sz val="10"/>
        <rFont val="Malgun Gothic"/>
        <family val="0"/>
        <charset val="1"/>
      </rPr>
      <t xml:space="preserve">SLAVE/BORE·SPOT/SCAN </t>
    </r>
    <r>
      <rPr>
        <sz val="10"/>
        <rFont val="Noto Sans CJK SC"/>
        <family val="2"/>
      </rPr>
      <t xml:space="preserve">재확인</t>
    </r>
  </si>
  <si>
    <t xml:space="preserve">1-526 ~ 1-527</t>
  </si>
  <si>
    <t xml:space="preserve">AB-14</t>
  </si>
  <si>
    <r>
      <rPr>
        <sz val="10"/>
        <rFont val="Noto Sans CJK SC"/>
        <family val="2"/>
      </rPr>
      <t xml:space="preserve">백업 능력 — </t>
    </r>
    <r>
      <rPr>
        <sz val="10"/>
        <rFont val="Malgun Gothic"/>
        <family val="0"/>
        <charset val="1"/>
      </rPr>
      <t xml:space="preserve">FCC(</t>
    </r>
    <r>
      <rPr>
        <sz val="10"/>
        <rFont val="Noto Sans CJK SC"/>
        <family val="2"/>
      </rPr>
      <t xml:space="preserve">사격통제컴퓨터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</t>
    </r>
  </si>
  <si>
    <t xml:space="preserve">Backup Capabilities — FCC Failure</t>
  </si>
  <si>
    <r>
      <rPr>
        <sz val="10"/>
        <rFont val="Malgun Gothic"/>
        <family val="0"/>
        <charset val="1"/>
      </rPr>
      <t xml:space="preserve">AVIONICS FAULT +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FCC/MMC </t>
    </r>
    <r>
      <rPr>
        <sz val="10"/>
        <rFont val="Noto Sans CJK SC"/>
        <family val="2"/>
      </rPr>
      <t xml:space="preserve">관련 결함</t>
    </r>
    <r>
      <rPr>
        <sz val="10"/>
        <rFont val="Malgun Gothic"/>
        <family val="0"/>
        <charset val="1"/>
      </rPr>
      <t xml:space="preserve">, DED STPT </t>
    </r>
    <r>
      <rPr>
        <sz val="10"/>
        <rFont val="Noto Sans CJK SC"/>
        <family val="2"/>
      </rPr>
      <t xml:space="preserve">페이지가 </t>
    </r>
    <r>
      <rPr>
        <sz val="10"/>
        <rFont val="Malgun Gothic"/>
        <family val="0"/>
        <charset val="1"/>
      </rPr>
      <t xml:space="preserve">BUP STPT</t>
    </r>
    <r>
      <rPr>
        <sz val="10"/>
        <rFont val="Noto Sans CJK SC"/>
        <family val="2"/>
      </rPr>
      <t xml:space="preserve">로 대체</t>
    </r>
    <r>
      <rPr>
        <sz val="10"/>
        <rFont val="Malgun Gothic"/>
        <family val="0"/>
        <charset val="1"/>
      </rPr>
      <t xml:space="preserve">, A-G </t>
    </r>
    <r>
      <rPr>
        <sz val="10"/>
        <rFont val="Noto Sans CJK SC"/>
        <family val="2"/>
      </rPr>
      <t xml:space="preserve">조준 심볼 소실</t>
    </r>
  </si>
  <si>
    <r>
      <rPr>
        <sz val="10"/>
        <rFont val="Malgun Gothic"/>
        <family val="0"/>
        <charset val="1"/>
      </rPr>
      <t xml:space="preserve">AVIONICS FAULT/PFLD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MMC </t>
    </r>
    <r>
      <rPr>
        <sz val="10"/>
        <rFont val="Noto Sans CJK SC"/>
        <family val="2"/>
      </rPr>
      <t xml:space="preserve">상태 확인 → </t>
    </r>
    <r>
      <rPr>
        <sz val="10"/>
        <rFont val="Malgun Gothic"/>
        <family val="0"/>
        <charset val="1"/>
      </rPr>
      <t xml:space="preserve">UFC STPT·FCR RWS </t>
    </r>
    <r>
      <rPr>
        <sz val="10"/>
        <rFont val="Noto Sans CJK SC"/>
        <family val="2"/>
      </rPr>
      <t xml:space="preserve">유지 확인 → </t>
    </r>
    <r>
      <rPr>
        <sz val="10"/>
        <rFont val="Malgun Gothic"/>
        <family val="0"/>
        <charset val="1"/>
      </rPr>
      <t xml:space="preserve">A-G</t>
    </r>
    <r>
      <rPr>
        <sz val="10"/>
        <rFont val="Noto Sans CJK SC"/>
        <family val="2"/>
      </rPr>
      <t xml:space="preserve">는 </t>
    </r>
    <r>
      <rPr>
        <sz val="10"/>
        <rFont val="Malgun Gothic"/>
        <family val="0"/>
        <charset val="1"/>
      </rPr>
      <t xml:space="preserve">CCIP/</t>
    </r>
    <r>
      <rPr>
        <sz val="10"/>
        <rFont val="Noto Sans CJK SC"/>
        <family val="2"/>
      </rPr>
      <t xml:space="preserve">육안으로 대체 → </t>
    </r>
    <r>
      <rPr>
        <sz val="10"/>
        <rFont val="Malgun Gothic"/>
        <family val="0"/>
        <charset val="1"/>
      </rPr>
      <t xml:space="preserve">EHSI </t>
    </r>
    <r>
      <rPr>
        <sz val="10"/>
        <rFont val="Noto Sans CJK SC"/>
        <family val="2"/>
      </rPr>
      <t xml:space="preserve">항법</t>
    </r>
  </si>
  <si>
    <t xml:space="preserve">1-528 ~ 1-529</t>
  </si>
  <si>
    <t xml:space="preserve">AB-15</t>
  </si>
  <si>
    <r>
      <rPr>
        <sz val="10"/>
        <rFont val="Noto Sans CJK SC"/>
        <family val="2"/>
      </rPr>
      <t xml:space="preserve">백업 능력 — </t>
    </r>
    <r>
      <rPr>
        <sz val="10"/>
        <rFont val="Malgun Gothic"/>
        <family val="0"/>
        <charset val="1"/>
      </rPr>
      <t xml:space="preserve">SMS(</t>
    </r>
    <r>
      <rPr>
        <sz val="10"/>
        <rFont val="Noto Sans CJK SC"/>
        <family val="2"/>
      </rPr>
      <t xml:space="preserve">무장관리세트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</t>
    </r>
  </si>
  <si>
    <t xml:space="preserve">Backup Capabilities — SMS Failure</t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</si>
  <si>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페이지 블랭크 또는 </t>
    </r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모드 </t>
    </r>
    <r>
      <rPr>
        <sz val="10"/>
        <rFont val="Malgun Gothic"/>
        <family val="0"/>
        <charset val="1"/>
      </rPr>
      <t xml:space="preserve">OFF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모든 무장 </t>
    </r>
    <r>
      <rPr>
        <sz val="10"/>
        <rFont val="Malgun Gothic"/>
        <family val="0"/>
        <charset val="1"/>
      </rPr>
      <t xml:space="preserve">RDY </t>
    </r>
    <r>
      <rPr>
        <sz val="10"/>
        <rFont val="Noto Sans CJK SC"/>
        <family val="2"/>
      </rPr>
      <t xml:space="preserve">불가</t>
    </r>
  </si>
  <si>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페이지 표시 확인 → </t>
    </r>
    <r>
      <rPr>
        <sz val="10"/>
        <rFont val="Malgun Gothic"/>
        <family val="0"/>
        <charset val="1"/>
      </rPr>
      <t xml:space="preserve">ST STA </t>
    </r>
    <r>
      <rPr>
        <sz val="10"/>
        <rFont val="Noto Sans CJK SC"/>
        <family val="2"/>
      </rPr>
      <t xml:space="preserve">스위치 </t>
    </r>
    <r>
      <rPr>
        <sz val="10"/>
        <rFont val="Malgun Gothic"/>
        <family val="0"/>
        <charset val="1"/>
      </rPr>
      <t xml:space="preserve">ON </t>
    </r>
    <r>
      <rPr>
        <sz val="10"/>
        <rFont val="Noto Sans CJK SC"/>
        <family val="2"/>
      </rPr>
      <t xml:space="preserve">확인 → 무장 불가 시 </t>
    </r>
    <r>
      <rPr>
        <sz val="10"/>
        <rFont val="Malgun Gothic"/>
        <family val="0"/>
        <charset val="1"/>
      </rPr>
      <t xml:space="preserve">RTB/</t>
    </r>
    <r>
      <rPr>
        <sz val="10"/>
        <rFont val="Noto Sans CJK SC"/>
        <family val="2"/>
      </rPr>
      <t xml:space="preserve">투기 판단</t>
    </r>
  </si>
  <si>
    <t xml:space="preserve">1-529</t>
  </si>
  <si>
    <t xml:space="preserve">AB-16</t>
  </si>
  <si>
    <r>
      <rPr>
        <sz val="10"/>
        <rFont val="Noto Sans CJK SC"/>
        <family val="2"/>
      </rPr>
      <t xml:space="preserve">백업 능력 — </t>
    </r>
    <r>
      <rPr>
        <sz val="10"/>
        <rFont val="Malgun Gothic"/>
        <family val="0"/>
        <charset val="1"/>
      </rPr>
      <t xml:space="preserve">INS(</t>
    </r>
    <r>
      <rPr>
        <sz val="10"/>
        <rFont val="Noto Sans CJK SC"/>
        <family val="2"/>
      </rPr>
      <t xml:space="preserve">관성항법장치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</t>
    </r>
  </si>
  <si>
    <t xml:space="preserve">Backup Capabilities — INS Failure</t>
  </si>
  <si>
    <r>
      <rPr>
        <sz val="10"/>
        <rFont val="Malgun Gothic"/>
        <family val="0"/>
        <charset val="1"/>
      </rPr>
      <t xml:space="preserve">DED INS </t>
    </r>
    <r>
      <rPr>
        <sz val="10"/>
        <rFont val="Noto Sans CJK SC"/>
        <family val="2"/>
      </rPr>
      <t xml:space="preserve">데이터 블랭크</t>
    </r>
    <r>
      <rPr>
        <sz val="10"/>
        <rFont val="Malgun Gothic"/>
        <family val="0"/>
        <charset val="1"/>
      </rPr>
      <t xml:space="preserve">, HUD </t>
    </r>
    <r>
      <rPr>
        <sz val="10"/>
        <rFont val="Noto Sans CJK SC"/>
        <family val="2"/>
      </rPr>
      <t xml:space="preserve">피치바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기체기준심볼 소실</t>
    </r>
    <r>
      <rPr>
        <sz val="10"/>
        <rFont val="Malgun Gothic"/>
        <family val="0"/>
        <charset val="1"/>
      </rPr>
      <t xml:space="preserve">, PFLD INS </t>
    </r>
    <r>
      <rPr>
        <sz val="10"/>
        <rFont val="Noto Sans CJK SC"/>
        <family val="2"/>
      </rPr>
      <t xml:space="preserve">결함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항법 조향 정보 소실</t>
    </r>
  </si>
  <si>
    <r>
      <rPr>
        <sz val="10"/>
        <rFont val="Malgun Gothic"/>
        <family val="0"/>
        <charset val="1"/>
      </rPr>
      <t xml:space="preserve">INS </t>
    </r>
    <r>
      <rPr>
        <sz val="10"/>
        <rFont val="Noto Sans CJK SC"/>
        <family val="2"/>
      </rPr>
      <t xml:space="preserve">결함 확인 → </t>
    </r>
    <r>
      <rPr>
        <sz val="10"/>
        <rFont val="Malgun Gothic"/>
        <family val="0"/>
        <charset val="1"/>
      </rPr>
      <t xml:space="preserve">SAI/</t>
    </r>
    <r>
      <rPr>
        <sz val="10"/>
        <rFont val="Noto Sans CJK SC"/>
        <family val="2"/>
      </rPr>
      <t xml:space="preserve">백업계기 → </t>
    </r>
    <r>
      <rPr>
        <sz val="10"/>
        <rFont val="Malgun Gothic"/>
        <family val="0"/>
        <charset val="1"/>
      </rPr>
      <t xml:space="preserve">EHSI TCN + T-ILS TACAN → CNI </t>
    </r>
    <r>
      <rPr>
        <sz val="10"/>
        <rFont val="Noto Sans CJK SC"/>
        <family val="2"/>
      </rPr>
      <t xml:space="preserve">유지 → </t>
    </r>
    <r>
      <rPr>
        <sz val="10"/>
        <rFont val="Malgun Gothic"/>
        <family val="0"/>
        <charset val="1"/>
      </rPr>
      <t xml:space="preserve">(GPS </t>
    </r>
    <r>
      <rPr>
        <sz val="10"/>
        <rFont val="Noto Sans CJK SC"/>
        <family val="2"/>
      </rPr>
      <t xml:space="preserve">有</t>
    </r>
    <r>
      <rPr>
        <sz val="10"/>
        <rFont val="Malgun Gothic"/>
        <family val="0"/>
        <charset val="1"/>
      </rPr>
      <t xml:space="preserve">) IN FLT ALIGN </t>
    </r>
    <r>
      <rPr>
        <sz val="10"/>
        <rFont val="Noto Sans CJK SC"/>
        <family val="2"/>
      </rPr>
      <t xml:space="preserve">시도</t>
    </r>
  </si>
  <si>
    <t xml:space="preserve">1-529 ~ 1-530</t>
  </si>
  <si>
    <t xml:space="preserve">AB-17</t>
  </si>
  <si>
    <r>
      <rPr>
        <sz val="10"/>
        <rFont val="Noto Sans CJK SC"/>
        <family val="2"/>
      </rPr>
      <t xml:space="preserve">백업 능력 — </t>
    </r>
    <r>
      <rPr>
        <sz val="10"/>
        <rFont val="Malgun Gothic"/>
        <family val="0"/>
        <charset val="1"/>
      </rPr>
      <t xml:space="preserve">CADC(</t>
    </r>
    <r>
      <rPr>
        <sz val="10"/>
        <rFont val="Noto Sans CJK SC"/>
        <family val="2"/>
      </rPr>
      <t xml:space="preserve">중앙대기자료컴퓨터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</t>
    </r>
  </si>
  <si>
    <t xml:space="preserve">Backup Capabilities — CADC Failure</t>
  </si>
  <si>
    <r>
      <rPr>
        <sz val="10"/>
        <rFont val="Malgun Gothic"/>
        <family val="0"/>
        <charset val="1"/>
      </rPr>
      <t xml:space="preserve">CADC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고도계 </t>
    </r>
    <r>
      <rPr>
        <sz val="10"/>
        <rFont val="Malgun Gothic"/>
        <family val="0"/>
        <charset val="1"/>
      </rPr>
      <t xml:space="preserve">PNEU </t>
    </r>
    <r>
      <rPr>
        <sz val="10"/>
        <rFont val="Noto Sans CJK SC"/>
        <family val="2"/>
      </rPr>
      <t xml:space="preserve">깃발 표시</t>
    </r>
    <r>
      <rPr>
        <sz val="10"/>
        <rFont val="Malgun Gothic"/>
        <family val="0"/>
        <charset val="1"/>
      </rPr>
      <t xml:space="preserve">, HUD </t>
    </r>
    <r>
      <rPr>
        <sz val="10"/>
        <rFont val="Noto Sans CJK SC"/>
        <family val="2"/>
      </rPr>
      <t xml:space="preserve">속도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고도</t>
    </r>
    <r>
      <rPr>
        <sz val="10"/>
        <rFont val="Malgun Gothic"/>
        <family val="0"/>
        <charset val="1"/>
      </rPr>
      <t xml:space="preserve">/FPM </t>
    </r>
    <r>
      <rPr>
        <sz val="10"/>
        <rFont val="Noto Sans CJK SC"/>
        <family val="2"/>
      </rPr>
      <t xml:space="preserve">이상</t>
    </r>
  </si>
  <si>
    <r>
      <rPr>
        <sz val="10"/>
        <rFont val="Malgun Gothic"/>
        <family val="0"/>
        <charset val="1"/>
      </rPr>
      <t xml:space="preserve">CADC </t>
    </r>
    <r>
      <rPr>
        <sz val="10"/>
        <rFont val="Noto Sans CJK SC"/>
        <family val="2"/>
      </rPr>
      <t xml:space="preserve">코션 확인 → 고도계 </t>
    </r>
    <r>
      <rPr>
        <sz val="10"/>
        <rFont val="Malgun Gothic"/>
        <family val="0"/>
        <charset val="1"/>
      </rPr>
      <t xml:space="preserve">PNEU → </t>
    </r>
    <r>
      <rPr>
        <sz val="10"/>
        <rFont val="Noto Sans CJK SC"/>
        <family val="2"/>
      </rPr>
      <t xml:space="preserve">백업 계기 비행 → </t>
    </r>
    <r>
      <rPr>
        <sz val="10"/>
        <rFont val="Malgun Gothic"/>
        <family val="0"/>
        <charset val="1"/>
      </rPr>
      <t xml:space="preserve">HUD ALT RADAR → </t>
    </r>
    <r>
      <rPr>
        <sz val="10"/>
        <rFont val="Noto Sans CJK SC"/>
        <family val="2"/>
      </rPr>
      <t xml:space="preserve">정밀 공격 중단</t>
    </r>
  </si>
  <si>
    <t xml:space="preserve">1-530</t>
  </si>
  <si>
    <t xml:space="preserve">AB-18</t>
  </si>
  <si>
    <r>
      <rPr>
        <sz val="10"/>
        <rFont val="Noto Sans CJK SC"/>
        <family val="2"/>
      </rPr>
      <t xml:space="preserve">백업 능력 — </t>
    </r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고장</t>
    </r>
  </si>
  <si>
    <t xml:space="preserve">Backup Capabilities — HUD Failure</t>
  </si>
  <si>
    <r>
      <rPr>
        <sz val="10"/>
        <rFont val="Malgun Gothic"/>
        <family val="0"/>
        <charset val="1"/>
      </rPr>
      <t xml:space="preserve">HUD </t>
    </r>
    <r>
      <rPr>
        <sz val="10"/>
        <rFont val="Noto Sans CJK SC"/>
        <family val="2"/>
      </rPr>
      <t xml:space="preserve">블랭크 또는 </t>
    </r>
    <r>
      <rPr>
        <sz val="10"/>
        <rFont val="Malgun Gothic"/>
        <family val="0"/>
        <charset val="1"/>
      </rPr>
      <t xml:space="preserve">FPM </t>
    </r>
    <r>
      <rPr>
        <sz val="10"/>
        <rFont val="Noto Sans CJK SC"/>
        <family val="2"/>
      </rPr>
      <t xml:space="preserve">소실</t>
    </r>
    <r>
      <rPr>
        <sz val="10"/>
        <rFont val="Malgun Gothic"/>
        <family val="0"/>
        <charset val="1"/>
      </rPr>
      <t xml:space="preserve">, PFLD HUD FAIL</t>
    </r>
  </si>
  <si>
    <r>
      <rPr>
        <sz val="10"/>
        <rFont val="Malgun Gothic"/>
        <family val="0"/>
        <charset val="1"/>
      </rPr>
      <t xml:space="preserve">SYM </t>
    </r>
    <r>
      <rPr>
        <sz val="10"/>
        <rFont val="Noto Sans CJK SC"/>
        <family val="2"/>
      </rPr>
      <t xml:space="preserve">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밝기 확인 → 백업 계기</t>
    </r>
    <r>
      <rPr>
        <sz val="10"/>
        <rFont val="Malgun Gothic"/>
        <family val="0"/>
        <charset val="1"/>
      </rPr>
      <t xml:space="preserve">·EHSI </t>
    </r>
    <r>
      <rPr>
        <sz val="10"/>
        <rFont val="Noto Sans CJK SC"/>
        <family val="2"/>
      </rPr>
      <t xml:space="preserve">비행 → </t>
    </r>
    <r>
      <rPr>
        <sz val="10"/>
        <rFont val="Malgun Gothic"/>
        <family val="0"/>
        <charset val="1"/>
      </rPr>
      <t xml:space="preserve">MFD </t>
    </r>
    <r>
      <rPr>
        <sz val="10"/>
        <rFont val="Noto Sans CJK SC"/>
        <family val="2"/>
      </rPr>
      <t xml:space="preserve">기반 항법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공격 → </t>
    </r>
    <r>
      <rPr>
        <sz val="10"/>
        <rFont val="Malgun Gothic"/>
        <family val="0"/>
        <charset val="1"/>
      </rPr>
      <t xml:space="preserve">AIM-9 BORE·AIM-120 STT → ILS/AOA </t>
    </r>
    <r>
      <rPr>
        <sz val="10"/>
        <rFont val="Noto Sans CJK SC"/>
        <family val="2"/>
      </rPr>
      <t xml:space="preserve">착륙</t>
    </r>
  </si>
  <si>
    <t xml:space="preserve">1-530 ~ 1-531</t>
  </si>
  <si>
    <t xml:space="preserve">AB-19</t>
  </si>
  <si>
    <r>
      <rPr>
        <sz val="10"/>
        <rFont val="Noto Sans CJK SC"/>
        <family val="2"/>
      </rPr>
      <t xml:space="preserve">백업 능력 — </t>
    </r>
    <r>
      <rPr>
        <sz val="10"/>
        <rFont val="Malgun Gothic"/>
        <family val="0"/>
        <charset val="1"/>
      </rPr>
      <t xml:space="preserve">FCR(</t>
    </r>
    <r>
      <rPr>
        <sz val="10"/>
        <rFont val="Noto Sans CJK SC"/>
        <family val="2"/>
      </rPr>
      <t xml:space="preserve">사격통제레이더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</t>
    </r>
  </si>
  <si>
    <t xml:space="preserve">Backup Capabilities — FCR Failure</t>
  </si>
  <si>
    <r>
      <rPr>
        <sz val="10"/>
        <rFont val="Malgun Gothic"/>
        <family val="0"/>
        <charset val="1"/>
      </rPr>
      <t xml:space="preserve">FCR </t>
    </r>
    <r>
      <rPr>
        <sz val="10"/>
        <rFont val="Noto Sans CJK SC"/>
        <family val="2"/>
      </rPr>
      <t xml:space="preserve">페이지 블랭크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응답 없음</t>
    </r>
    <r>
      <rPr>
        <sz val="10"/>
        <rFont val="Malgun Gothic"/>
        <family val="0"/>
        <charset val="1"/>
      </rPr>
      <t xml:space="preserve">, HUD </t>
    </r>
    <r>
      <rPr>
        <sz val="10"/>
        <rFont val="Noto Sans CJK SC"/>
        <family val="2"/>
      </rPr>
      <t xml:space="preserve">슬랜트레인지 접두문자가 </t>
    </r>
    <r>
      <rPr>
        <sz val="10"/>
        <rFont val="Malgun Gothic"/>
        <family val="0"/>
        <charset val="1"/>
      </rPr>
      <t xml:space="preserve">F</t>
    </r>
    <r>
      <rPr>
        <sz val="10"/>
        <rFont val="Noto Sans CJK SC"/>
        <family val="2"/>
      </rPr>
      <t xml:space="preserve">에서 </t>
    </r>
    <r>
      <rPr>
        <sz val="10"/>
        <rFont val="Malgun Gothic"/>
        <family val="0"/>
        <charset val="1"/>
      </rPr>
      <t xml:space="preserve">B/T</t>
    </r>
    <r>
      <rPr>
        <sz val="10"/>
        <rFont val="Noto Sans CJK SC"/>
        <family val="2"/>
      </rPr>
      <t xml:space="preserve">로 변경</t>
    </r>
    <r>
      <rPr>
        <sz val="10"/>
        <rFont val="Malgun Gothic"/>
        <family val="0"/>
        <charset val="1"/>
      </rPr>
      <t xml:space="preserve">, PFLD FCR </t>
    </r>
    <r>
      <rPr>
        <sz val="10"/>
        <rFont val="Noto Sans CJK SC"/>
        <family val="2"/>
      </rPr>
      <t xml:space="preserve">결함</t>
    </r>
  </si>
  <si>
    <r>
      <rPr>
        <sz val="10"/>
        <rFont val="Malgun Gothic"/>
        <family val="0"/>
        <charset val="1"/>
      </rPr>
      <t xml:space="preserve">FCR PWR </t>
    </r>
    <r>
      <rPr>
        <sz val="10"/>
        <rFont val="Noto Sans CJK SC"/>
        <family val="2"/>
      </rPr>
      <t xml:space="preserve">재순환 → 실패 시 </t>
    </r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레이저</t>
    </r>
    <r>
      <rPr>
        <sz val="10"/>
        <rFont val="Malgun Gothic"/>
        <family val="0"/>
        <charset val="1"/>
      </rPr>
      <t xml:space="preserve">/BARO </t>
    </r>
    <r>
      <rPr>
        <sz val="10"/>
        <rFont val="Noto Sans CJK SC"/>
        <family val="2"/>
      </rPr>
      <t xml:space="preserve">레인징 공대지 → </t>
    </r>
    <r>
      <rPr>
        <sz val="10"/>
        <rFont val="Malgun Gothic"/>
        <family val="0"/>
        <charset val="1"/>
      </rPr>
      <t xml:space="preserve">AIM-9 BORE·EEGS </t>
    </r>
    <r>
      <rPr>
        <sz val="10"/>
        <rFont val="Noto Sans CJK SC"/>
        <family val="2"/>
      </rPr>
      <t xml:space="preserve">수동 → </t>
    </r>
    <r>
      <rPr>
        <sz val="10"/>
        <rFont val="Malgun Gothic"/>
        <family val="0"/>
        <charset val="1"/>
      </rPr>
      <t xml:space="preserve">FIX OFLY/HUD/TGP </t>
    </r>
    <r>
      <rPr>
        <sz val="10"/>
        <rFont val="Noto Sans CJK SC"/>
        <family val="2"/>
      </rPr>
      <t xml:space="preserve">항법</t>
    </r>
  </si>
  <si>
    <t xml:space="preserve">1-531</t>
  </si>
  <si>
    <t xml:space="preserve">AB-20</t>
  </si>
  <si>
    <r>
      <rPr>
        <sz val="10"/>
        <rFont val="Noto Sans CJK SC"/>
        <family val="2"/>
      </rPr>
      <t xml:space="preserve">백업 능력 — </t>
    </r>
    <r>
      <rPr>
        <sz val="10"/>
        <rFont val="Malgun Gothic"/>
        <family val="0"/>
        <charset val="1"/>
      </rPr>
      <t xml:space="preserve">MFDS(</t>
    </r>
    <r>
      <rPr>
        <sz val="10"/>
        <rFont val="Noto Sans CJK SC"/>
        <family val="2"/>
      </rPr>
      <t xml:space="preserve">다기능표시장치세트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</t>
    </r>
  </si>
  <si>
    <t xml:space="preserve">Backup Capabilities — MFDS Failure</t>
  </si>
  <si>
    <r>
      <rPr>
        <sz val="10"/>
        <rFont val="Malgun Gothic"/>
        <family val="0"/>
        <charset val="1"/>
      </rPr>
      <t xml:space="preserve">MFD </t>
    </r>
    <r>
      <rPr>
        <sz val="10"/>
        <rFont val="Noto Sans CJK SC"/>
        <family val="2"/>
      </rPr>
      <t xml:space="preserve">화면 블랭크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응답 없음</t>
    </r>
    <r>
      <rPr>
        <sz val="10"/>
        <rFont val="Malgun Gothic"/>
        <family val="0"/>
        <charset val="1"/>
      </rPr>
      <t xml:space="preserve">, PFLD MFDS </t>
    </r>
    <r>
      <rPr>
        <sz val="10"/>
        <rFont val="Noto Sans CJK SC"/>
        <family val="2"/>
      </rPr>
      <t xml:space="preserve">결함</t>
    </r>
  </si>
  <si>
    <r>
      <rPr>
        <sz val="10"/>
        <rFont val="Malgun Gothic"/>
        <family val="0"/>
        <charset val="1"/>
      </rPr>
      <t xml:space="preserve">MFD PWR </t>
    </r>
    <r>
      <rPr>
        <sz val="10"/>
        <rFont val="Noto Sans CJK SC"/>
        <family val="2"/>
      </rPr>
      <t xml:space="preserve">확인 → 정상 </t>
    </r>
    <r>
      <rPr>
        <sz val="10"/>
        <rFont val="Malgun Gothic"/>
        <family val="0"/>
        <charset val="1"/>
      </rPr>
      <t xml:space="preserve">MFD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SWAP/DMS </t>
    </r>
    <r>
      <rPr>
        <sz val="10"/>
        <rFont val="Noto Sans CJK SC"/>
        <family val="2"/>
      </rPr>
      <t xml:space="preserve">재배치 → 전체 고장 시 </t>
    </r>
    <r>
      <rPr>
        <sz val="10"/>
        <rFont val="Malgun Gothic"/>
        <family val="0"/>
        <charset val="1"/>
      </rPr>
      <t xml:space="preserve">MSL STEP </t>
    </r>
    <r>
      <rPr>
        <sz val="10"/>
        <rFont val="Noto Sans CJK SC"/>
        <family val="2"/>
      </rPr>
      <t xml:space="preserve">모드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스테이션 순환 → </t>
    </r>
    <r>
      <rPr>
        <sz val="10"/>
        <rFont val="Malgun Gothic"/>
        <family val="0"/>
        <charset val="1"/>
      </rPr>
      <t xml:space="preserve">DGFT ACM·CCIP </t>
    </r>
    <r>
      <rPr>
        <sz val="10"/>
        <rFont val="Noto Sans CJK SC"/>
        <family val="2"/>
      </rPr>
      <t xml:space="preserve">시각 공격 → </t>
    </r>
    <r>
      <rPr>
        <sz val="10"/>
        <rFont val="Malgun Gothic"/>
        <family val="0"/>
        <charset val="1"/>
      </rPr>
      <t xml:space="preserve">DED/EHSI </t>
    </r>
    <r>
      <rPr>
        <sz val="10"/>
        <rFont val="Noto Sans CJK SC"/>
        <family val="2"/>
      </rPr>
      <t xml:space="preserve">항법</t>
    </r>
  </si>
  <si>
    <t xml:space="preserve">1-531 ~ 1-532</t>
  </si>
  <si>
    <t xml:space="preserve">AB-21</t>
  </si>
  <si>
    <r>
      <rPr>
        <sz val="10"/>
        <rFont val="Noto Sans CJK SC"/>
        <family val="2"/>
      </rPr>
      <t xml:space="preserve">백업 능력 — </t>
    </r>
    <r>
      <rPr>
        <sz val="10"/>
        <rFont val="Malgun Gothic"/>
        <family val="0"/>
        <charset val="1"/>
      </rPr>
      <t xml:space="preserve">DTE(</t>
    </r>
    <r>
      <rPr>
        <sz val="10"/>
        <rFont val="Noto Sans CJK SC"/>
        <family val="2"/>
      </rPr>
      <t xml:space="preserve">자료전송장치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</t>
    </r>
  </si>
  <si>
    <t xml:space="preserve">Backup Capabilities — DTE Failure</t>
  </si>
  <si>
    <r>
      <rPr>
        <sz val="10"/>
        <rFont val="Malgun Gothic"/>
        <family val="0"/>
        <charset val="1"/>
      </rPr>
      <t xml:space="preserve">DTE </t>
    </r>
    <r>
      <rPr>
        <sz val="10"/>
        <rFont val="Noto Sans CJK SC"/>
        <family val="2"/>
      </rPr>
      <t xml:space="preserve">페이지 </t>
    </r>
    <r>
      <rPr>
        <sz val="10"/>
        <rFont val="Malgun Gothic"/>
        <family val="0"/>
        <charset val="1"/>
      </rPr>
      <t xml:space="preserve">LOAD </t>
    </r>
    <r>
      <rPr>
        <sz val="10"/>
        <rFont val="Noto Sans CJK SC"/>
        <family val="2"/>
      </rPr>
      <t xml:space="preserve">실패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응답 없음</t>
    </r>
    <r>
      <rPr>
        <sz val="10"/>
        <rFont val="Malgun Gothic"/>
        <family val="0"/>
        <charset val="1"/>
      </rPr>
      <t xml:space="preserve">, PFLD DTE </t>
    </r>
    <r>
      <rPr>
        <sz val="10"/>
        <rFont val="Noto Sans CJK SC"/>
        <family val="2"/>
      </rPr>
      <t xml:space="preserve">결함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스티어포인트</t>
    </r>
    <r>
      <rPr>
        <sz val="10"/>
        <rFont val="Malgun Gothic"/>
        <family val="0"/>
        <charset val="1"/>
      </rPr>
      <t xml:space="preserve">·CMDS </t>
    </r>
    <r>
      <rPr>
        <sz val="10"/>
        <rFont val="Noto Sans CJK SC"/>
        <family val="2"/>
      </rPr>
      <t xml:space="preserve">프로그램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통신 프리셋 미로드</t>
    </r>
  </si>
  <si>
    <r>
      <rPr>
        <sz val="10"/>
        <rFont val="Malgun Gothic"/>
        <family val="0"/>
        <charset val="1"/>
      </rPr>
      <t xml:space="preserve">DTE LOAD </t>
    </r>
    <r>
      <rPr>
        <sz val="10"/>
        <rFont val="Noto Sans CJK SC"/>
        <family val="2"/>
      </rPr>
      <t xml:space="preserve">실패 확인 → </t>
    </r>
    <r>
      <rPr>
        <sz val="10"/>
        <rFont val="Malgun Gothic"/>
        <family val="0"/>
        <charset val="1"/>
      </rPr>
      <t xml:space="preserve">DEST </t>
    </r>
    <r>
      <rPr>
        <sz val="10"/>
        <rFont val="Noto Sans CJK SC"/>
        <family val="2"/>
      </rPr>
      <t xml:space="preserve">좌표 수동 입력 → </t>
    </r>
    <r>
      <rPr>
        <sz val="10"/>
        <rFont val="Malgun Gothic"/>
        <family val="0"/>
        <charset val="1"/>
      </rPr>
      <t xml:space="preserve">CMDS </t>
    </r>
    <r>
      <rPr>
        <sz val="10"/>
        <rFont val="Noto Sans CJK SC"/>
        <family val="2"/>
      </rPr>
      <t xml:space="preserve">프로그램 수동 입력 → </t>
    </r>
    <r>
      <rPr>
        <sz val="10"/>
        <rFont val="Malgun Gothic"/>
        <family val="0"/>
        <charset val="1"/>
      </rPr>
      <t xml:space="preserve">COM </t>
    </r>
    <r>
      <rPr>
        <sz val="10"/>
        <rFont val="Noto Sans CJK SC"/>
        <family val="2"/>
      </rPr>
      <t xml:space="preserve">프리셋 수동 → </t>
    </r>
    <r>
      <rPr>
        <sz val="10"/>
        <rFont val="Malgun Gothic"/>
        <family val="0"/>
        <charset val="1"/>
      </rPr>
      <t xml:space="preserve">SMS </t>
    </r>
    <r>
      <rPr>
        <sz val="10"/>
        <rFont val="Noto Sans CJK SC"/>
        <family val="2"/>
      </rPr>
      <t xml:space="preserve">프로파일 수동</t>
    </r>
  </si>
  <si>
    <t xml:space="preserve">1-532</t>
  </si>
  <si>
    <t xml:space="preserve">AB-22</t>
  </si>
  <si>
    <r>
      <rPr>
        <sz val="10"/>
        <rFont val="Noto Sans CJK SC"/>
        <family val="2"/>
      </rPr>
      <t xml:space="preserve">백업 능력 — </t>
    </r>
    <r>
      <rPr>
        <sz val="10"/>
        <rFont val="Malgun Gothic"/>
        <family val="0"/>
        <charset val="1"/>
      </rPr>
      <t xml:space="preserve">UFC(</t>
    </r>
    <r>
      <rPr>
        <sz val="10"/>
        <rFont val="Noto Sans CJK SC"/>
        <family val="2"/>
      </rPr>
      <t xml:space="preserve">업프론트 컨트롤 세트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</t>
    </r>
  </si>
  <si>
    <t xml:space="preserve">Backup Capabilities — UFC Failure</t>
  </si>
  <si>
    <r>
      <rPr>
        <sz val="10"/>
        <rFont val="Malgun Gothic"/>
        <family val="0"/>
        <charset val="1"/>
      </rPr>
      <t xml:space="preserve">DED </t>
    </r>
    <r>
      <rPr>
        <sz val="10"/>
        <rFont val="Noto Sans CJK SC"/>
        <family val="2"/>
      </rPr>
      <t xml:space="preserve">블랭크</t>
    </r>
    <r>
      <rPr>
        <sz val="10"/>
        <rFont val="Malgun Gothic"/>
        <family val="0"/>
        <charset val="1"/>
      </rPr>
      <t xml:space="preserve">, ICP </t>
    </r>
    <r>
      <rPr>
        <sz val="10"/>
        <rFont val="Noto Sans CJK SC"/>
        <family val="2"/>
      </rPr>
      <t xml:space="preserve">키 입력 무반응</t>
    </r>
    <r>
      <rPr>
        <sz val="10"/>
        <rFont val="Malgun Gothic"/>
        <family val="0"/>
        <charset val="1"/>
      </rPr>
      <t xml:space="preserve">, AVIONICS FAULT </t>
    </r>
    <r>
      <rPr>
        <sz val="10"/>
        <rFont val="Noto Sans CJK SC"/>
        <family val="2"/>
      </rPr>
      <t xml:space="preserve">미작동</t>
    </r>
    <r>
      <rPr>
        <sz val="10"/>
        <rFont val="Malgun Gothic"/>
        <family val="0"/>
        <charset val="1"/>
      </rPr>
      <t xml:space="preserve">, PFLD </t>
    </r>
    <r>
      <rPr>
        <sz val="10"/>
        <rFont val="Noto Sans CJK SC"/>
        <family val="2"/>
      </rPr>
      <t xml:space="preserve">블랭크</t>
    </r>
  </si>
  <si>
    <r>
      <rPr>
        <sz val="10"/>
        <rFont val="Malgun Gothic"/>
        <family val="0"/>
        <charset val="1"/>
      </rPr>
      <t xml:space="preserve">UFC PWR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C&amp;I BACKUP + UHF </t>
    </r>
    <r>
      <rPr>
        <sz val="10"/>
        <rFont val="Noto Sans CJK SC"/>
        <family val="2"/>
      </rPr>
      <t xml:space="preserve">백업 무전 → </t>
    </r>
    <r>
      <rPr>
        <sz val="10"/>
        <rFont val="Malgun Gothic"/>
        <family val="0"/>
        <charset val="1"/>
      </rPr>
      <t xml:space="preserve">IFF </t>
    </r>
    <r>
      <rPr>
        <sz val="10"/>
        <rFont val="Noto Sans CJK SC"/>
        <family val="2"/>
      </rPr>
      <t xml:space="preserve">패널 백업 스위치 → </t>
    </r>
    <r>
      <rPr>
        <sz val="10"/>
        <rFont val="Malgun Gothic"/>
        <family val="0"/>
        <charset val="1"/>
      </rPr>
      <t xml:space="preserve">DGFT/MSL OVRD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A-A → HSD</t>
    </r>
    <r>
      <rPr>
        <sz val="10"/>
        <rFont val="Noto Sans CJK SC"/>
        <family val="2"/>
      </rPr>
      <t xml:space="preserve">로 항법 유지</t>
    </r>
  </si>
  <si>
    <t xml:space="preserve">1-532 ~ 1-533</t>
  </si>
  <si>
    <t xml:space="preserve">AB-23</t>
  </si>
  <si>
    <r>
      <rPr>
        <sz val="10"/>
        <rFont val="Noto Sans CJK SC"/>
        <family val="2"/>
      </rPr>
      <t xml:space="preserve">백업 능력 — </t>
    </r>
    <r>
      <rPr>
        <sz val="10"/>
        <rFont val="Malgun Gothic"/>
        <family val="0"/>
        <charset val="1"/>
      </rPr>
      <t xml:space="preserve">AIFF(</t>
    </r>
    <r>
      <rPr>
        <sz val="10"/>
        <rFont val="Noto Sans CJK SC"/>
        <family val="2"/>
      </rPr>
      <t xml:space="preserve">피아식별장치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고장</t>
    </r>
  </si>
  <si>
    <t xml:space="preserve">Backup Capabilities — AIFF Failure</t>
  </si>
  <si>
    <r>
      <rPr>
        <sz val="10"/>
        <rFont val="Malgun Gothic"/>
        <family val="0"/>
        <charset val="1"/>
      </rPr>
      <t xml:space="preserve">IFF 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, IFF DED </t>
    </r>
    <r>
      <rPr>
        <sz val="10"/>
        <rFont val="Noto Sans CJK SC"/>
        <family val="2"/>
      </rPr>
      <t xml:space="preserve">페이지 응답 없음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인터로게이션 응답 없음</t>
    </r>
  </si>
  <si>
    <r>
      <rPr>
        <sz val="10"/>
        <rFont val="Malgun Gothic"/>
        <family val="0"/>
        <charset val="1"/>
      </rPr>
      <t xml:space="preserve">IFF </t>
    </r>
    <r>
      <rPr>
        <sz val="10"/>
        <rFont val="Noto Sans CJK SC"/>
        <family val="2"/>
      </rPr>
      <t xml:space="preserve">코션 확인 → </t>
    </r>
    <r>
      <rPr>
        <sz val="10"/>
        <rFont val="Malgun Gothic"/>
        <family val="0"/>
        <charset val="1"/>
      </rPr>
      <t xml:space="preserve">IFF Master </t>
    </r>
    <r>
      <rPr>
        <sz val="10"/>
        <rFont val="Noto Sans CJK SC"/>
        <family val="2"/>
      </rPr>
      <t xml:space="preserve">재순환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안테나 </t>
    </r>
    <r>
      <rPr>
        <sz val="10"/>
        <rFont val="Malgun Gothic"/>
        <family val="0"/>
        <charset val="1"/>
      </rPr>
      <t xml:space="preserve">NORM → </t>
    </r>
    <r>
      <rPr>
        <sz val="10"/>
        <rFont val="Noto Sans CJK SC"/>
        <family val="2"/>
      </rPr>
      <t xml:space="preserve">실패 시 데이터링크</t>
    </r>
    <r>
      <rPr>
        <sz val="10"/>
        <rFont val="Malgun Gothic"/>
        <family val="0"/>
        <charset val="1"/>
      </rPr>
      <t xml:space="preserve">·AWACS </t>
    </r>
    <r>
      <rPr>
        <sz val="10"/>
        <rFont val="Noto Sans CJK SC"/>
        <family val="2"/>
      </rPr>
      <t xml:space="preserve">음성 식별로 대체 → 편대 보고</t>
    </r>
  </si>
  <si>
    <t xml:space="preserve">1-533</t>
  </si>
  <si>
    <t xml:space="preserve">EM-01</t>
  </si>
  <si>
    <r>
      <rPr>
        <sz val="10"/>
        <rFont val="Noto Sans CJK SC"/>
        <family val="2"/>
      </rPr>
      <t xml:space="preserve">비상 투하 절차 </t>
    </r>
    <r>
      <rPr>
        <sz val="10"/>
        <rFont val="Malgun Gothic"/>
        <family val="0"/>
        <charset val="1"/>
      </rPr>
      <t xml:space="preserve">/ AGTS </t>
    </r>
    <r>
      <rPr>
        <sz val="10"/>
        <rFont val="Noto Sans CJK SC"/>
        <family val="2"/>
      </rPr>
      <t xml:space="preserve">견인선 투기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견인선 전개 상태 착륙</t>
    </r>
  </si>
  <si>
    <t xml:space="preserve">Emergency Release Procedures / AGTS Towline Jettison / Landing With Towline Deployed</t>
  </si>
  <si>
    <r>
      <rPr>
        <sz val="10"/>
        <rFont val="Noto Sans CJK SC"/>
        <family val="2"/>
      </rPr>
      <t xml:space="preserve">엔진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유압 비상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피탄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중량 초과 착륙 등으로 외부 장착물 투기가 필요할 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AGTS </t>
    </r>
    <r>
      <rPr>
        <sz val="10"/>
        <rFont val="Noto Sans CJK SC"/>
        <family val="2"/>
      </rPr>
      <t xml:space="preserve">견인선 절단 필요 시</t>
    </r>
  </si>
  <si>
    <r>
      <rPr>
        <sz val="10"/>
        <rFont val="Malgun Gothic"/>
        <family val="0"/>
        <charset val="1"/>
      </rPr>
      <t xml:space="preserve">S-J </t>
    </r>
    <r>
      <rPr>
        <sz val="10"/>
        <rFont val="Noto Sans CJK SC"/>
        <family val="2"/>
      </rPr>
      <t xml:space="preserve">페이지 스테이션 선택 → </t>
    </r>
    <r>
      <rPr>
        <sz val="10"/>
        <rFont val="Malgun Gothic"/>
        <family val="0"/>
        <charset val="1"/>
      </rPr>
      <t xml:space="preserve">WPN REL (</t>
    </r>
    <r>
      <rPr>
        <sz val="10"/>
        <rFont val="Noto Sans CJK SC"/>
        <family val="2"/>
      </rPr>
      <t xml:space="preserve">지상</t>
    </r>
    <r>
      <rPr>
        <sz val="10"/>
        <rFont val="Malgun Gothic"/>
        <family val="0"/>
        <charset val="1"/>
      </rPr>
      <t xml:space="preserve">: GND JETT UP) / </t>
    </r>
    <r>
      <rPr>
        <sz val="10"/>
        <rFont val="Noto Sans CJK SC"/>
        <family val="2"/>
      </rPr>
      <t xml:space="preserve">비상</t>
    </r>
    <r>
      <rPr>
        <sz val="10"/>
        <rFont val="Malgun Gothic"/>
        <family val="0"/>
        <charset val="1"/>
      </rPr>
      <t xml:space="preserve">: EMERG JETT </t>
    </r>
    <r>
      <rPr>
        <sz val="10"/>
        <rFont val="Noto Sans CJK SC"/>
        <family val="2"/>
      </rPr>
      <t xml:space="preserve">버튼 → 투기 확인 → </t>
    </r>
    <r>
      <rPr>
        <sz val="10"/>
        <rFont val="Malgun Gothic"/>
        <family val="0"/>
        <charset val="1"/>
      </rPr>
      <t xml:space="preserve">MASTER ARM OFF</t>
    </r>
  </si>
  <si>
    <t xml:space="preserve">2-1</t>
  </si>
  <si>
    <r>
      <rPr>
        <b val="true"/>
        <sz val="10"/>
        <rFont val="Malgun Gothic"/>
        <family val="0"/>
        <charset val="1"/>
      </rPr>
      <t xml:space="preserve">■ PA  </t>
    </r>
    <r>
      <rPr>
        <b val="true"/>
        <sz val="10"/>
        <rFont val="Noto Sans CJK SC"/>
        <family val="2"/>
      </rPr>
      <t xml:space="preserve">상시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필요 시  </t>
    </r>
    <r>
      <rPr>
        <b val="true"/>
        <sz val="10"/>
        <rFont val="Malgun Gothic"/>
        <family val="0"/>
        <charset val="1"/>
      </rPr>
      <t xml:space="preserve">(As Required) — </t>
    </r>
    <r>
      <rPr>
        <b val="true"/>
        <sz val="10"/>
        <rFont val="Noto Sans CJK SC"/>
        <family val="2"/>
      </rPr>
      <t xml:space="preserve">특정 단계에 묶이지 않고 필요할 때 수행</t>
    </r>
    <r>
      <rPr>
        <b val="true"/>
        <sz val="10"/>
        <rFont val="Malgun Gothic"/>
        <family val="0"/>
        <charset val="1"/>
      </rPr>
      <t xml:space="preserve">.</t>
    </r>
  </si>
  <si>
    <t xml:space="preserve">PA</t>
  </si>
  <si>
    <r>
      <rPr>
        <sz val="10"/>
        <rFont val="Noto Sans CJK SC"/>
        <family val="2"/>
      </rPr>
      <t xml:space="preserve">상시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필요 시</t>
    </r>
  </si>
  <si>
    <t xml:space="preserve">N-28</t>
  </si>
  <si>
    <r>
      <rPr>
        <sz val="10"/>
        <rFont val="Noto Sans CJK SC"/>
        <family val="2"/>
      </rPr>
      <t xml:space="preserve">스크램블 </t>
    </r>
    <r>
      <rPr>
        <sz val="10"/>
        <rFont val="Malgun Gothic"/>
        <family val="0"/>
        <charset val="1"/>
      </rPr>
      <t xml:space="preserve">- </t>
    </r>
    <r>
      <rPr>
        <sz val="10"/>
        <rFont val="Noto Sans CJK SC"/>
        <family val="2"/>
      </rPr>
      <t xml:space="preserve">사전준비</t>
    </r>
    <r>
      <rPr>
        <sz val="10"/>
        <rFont val="Malgun Gothic"/>
        <family val="0"/>
        <charset val="1"/>
      </rPr>
      <t xml:space="preserve">(Preflight)</t>
    </r>
  </si>
  <si>
    <t xml:space="preserve">Scramble - Preflight</t>
  </si>
  <si>
    <r>
      <rPr>
        <sz val="10"/>
        <rFont val="Noto Sans CJK SC"/>
        <family val="2"/>
      </rPr>
      <t xml:space="preserve">스크램블 대기</t>
    </r>
    <r>
      <rPr>
        <sz val="10"/>
        <rFont val="Malgun Gothic"/>
        <family val="0"/>
        <charset val="1"/>
      </rPr>
      <t xml:space="preserve">(QRA) </t>
    </r>
    <r>
      <rPr>
        <sz val="10"/>
        <rFont val="Noto Sans CJK SC"/>
        <family val="2"/>
      </rPr>
      <t xml:space="preserve">태세 진입 명령 시</t>
    </r>
  </si>
  <si>
    <r>
      <rPr>
        <sz val="10"/>
        <rFont val="Malgun Gothic"/>
        <family val="0"/>
        <charset val="1"/>
      </rPr>
      <t xml:space="preserve">N-02 → N-03~08 → N-09 → N-11 → N-12(EPU </t>
    </r>
    <r>
      <rPr>
        <sz val="10"/>
        <rFont val="Noto Sans CJK SC"/>
        <family val="2"/>
      </rPr>
      <t xml:space="preserve">테스트 포함</t>
    </r>
    <r>
      <rPr>
        <sz val="10"/>
        <rFont val="Malgun Gothic"/>
        <family val="0"/>
        <charset val="1"/>
      </rPr>
      <t xml:space="preserve">) → INS NORM </t>
    </r>
    <r>
      <rPr>
        <sz val="10"/>
        <rFont val="Noto Sans CJK SC"/>
        <family val="2"/>
      </rPr>
      <t xml:space="preserve">정렬 후 </t>
    </r>
    <r>
      <rPr>
        <sz val="10"/>
        <rFont val="Malgun Gothic"/>
        <family val="0"/>
        <charset val="1"/>
      </rPr>
      <t xml:space="preserve">OFF → </t>
    </r>
    <r>
      <rPr>
        <sz val="10"/>
        <rFont val="Noto Sans CJK SC"/>
        <family val="2"/>
      </rPr>
      <t xml:space="preserve">정지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대기</t>
    </r>
  </si>
  <si>
    <t xml:space="preserve">2-30</t>
  </si>
  <si>
    <t xml:space="preserve">N-30</t>
  </si>
  <si>
    <r>
      <rPr>
        <sz val="10"/>
        <rFont val="Noto Sans CJK SC"/>
        <family val="2"/>
      </rPr>
      <t xml:space="preserve">핫피트</t>
    </r>
    <r>
      <rPr>
        <sz val="10"/>
        <rFont val="Malgun Gothic"/>
        <family val="0"/>
        <charset val="1"/>
      </rPr>
      <t xml:space="preserve">(Hot Pit) </t>
    </r>
    <r>
      <rPr>
        <sz val="10"/>
        <rFont val="Noto Sans CJK SC"/>
        <family val="2"/>
      </rPr>
      <t xml:space="preserve">진입 전 절차</t>
    </r>
  </si>
  <si>
    <t xml:space="preserve">Prior to Hot Pit Entry</t>
  </si>
  <si>
    <r>
      <rPr>
        <sz val="10"/>
        <rFont val="Noto Sans CJK SC"/>
        <family val="2"/>
      </rPr>
      <t xml:space="preserve">착륙 후 엔진 가동 상태로 핫피트</t>
    </r>
    <r>
      <rPr>
        <sz val="10"/>
        <rFont val="Malgun Gothic"/>
        <family val="0"/>
        <charset val="1"/>
      </rPr>
      <t xml:space="preserve">(hot pit) </t>
    </r>
    <r>
      <rPr>
        <sz val="10"/>
        <rFont val="Noto Sans CJK SC"/>
        <family val="2"/>
      </rPr>
      <t xml:space="preserve">급유 계획 시</t>
    </r>
  </si>
  <si>
    <r>
      <rPr>
        <sz val="10"/>
        <rFont val="Noto Sans CJK SC"/>
        <family val="2"/>
      </rPr>
      <t xml:space="preserve">해당 없음 —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엔진 정지 후 </t>
    </r>
    <r>
      <rPr>
        <sz val="10"/>
        <rFont val="Malgun Gothic"/>
        <family val="0"/>
        <charset val="1"/>
      </rPr>
      <t xml:space="preserve">F8 Ground Crew </t>
    </r>
    <r>
      <rPr>
        <sz val="10"/>
        <rFont val="Noto Sans CJK SC"/>
        <family val="2"/>
      </rPr>
      <t xml:space="preserve">급유로 대체</t>
    </r>
    <r>
      <rPr>
        <sz val="10"/>
        <rFont val="Malgun Gothic"/>
        <family val="0"/>
        <charset val="1"/>
      </rPr>
      <t xml:space="preserve">)</t>
    </r>
  </si>
  <si>
    <t xml:space="preserve">2-31</t>
  </si>
  <si>
    <t xml:space="preserve">N-31</t>
  </si>
  <si>
    <t xml:space="preserve">핫리퓨얼링 시작 전 절차</t>
  </si>
  <si>
    <t xml:space="preserve">Prior to Hot Refueling</t>
  </si>
  <si>
    <t xml:space="preserve">핫피트 정지 후 급유 호스 연결 전</t>
  </si>
  <si>
    <t xml:space="preserve">해당 없음</t>
  </si>
  <si>
    <t xml:space="preserve">N-32</t>
  </si>
  <si>
    <t xml:space="preserve">핫리퓨얼링 중 절차</t>
  </si>
  <si>
    <t xml:space="preserve">During Hot Refueling</t>
  </si>
  <si>
    <t xml:space="preserve">핫리퓨얼링 진행 중</t>
  </si>
  <si>
    <r>
      <rPr>
        <sz val="10"/>
        <rFont val="Noto Sans CJK SC"/>
        <family val="2"/>
      </rPr>
      <t xml:space="preserve">해당 없음 —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지상관제 주파수 청취만 가능</t>
    </r>
    <r>
      <rPr>
        <sz val="10"/>
        <rFont val="Malgun Gothic"/>
        <family val="0"/>
        <charset val="1"/>
      </rPr>
      <t xml:space="preserve">)</t>
    </r>
  </si>
  <si>
    <t xml:space="preserve">N-33</t>
  </si>
  <si>
    <t xml:space="preserve">핫리퓨얼링 완료 절차</t>
  </si>
  <si>
    <t xml:space="preserve">Hot Refueling Complete</t>
  </si>
  <si>
    <r>
      <rPr>
        <sz val="10"/>
        <rFont val="Noto Sans CJK SC"/>
        <family val="2"/>
      </rPr>
      <t xml:space="preserve">핫리퓨얼링 완료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급유 호스 분리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시</t>
    </r>
  </si>
  <si>
    <r>
      <rPr>
        <sz val="10"/>
        <rFont val="Noto Sans CJK SC"/>
        <family val="2"/>
      </rPr>
      <t xml:space="preserve">해당 없음 — </t>
    </r>
    <r>
      <rPr>
        <sz val="10"/>
        <rFont val="Malgun Gothic"/>
        <family val="0"/>
        <charset val="1"/>
      </rPr>
      <t xml:space="preserve">(AR CLOSE → EPU </t>
    </r>
    <r>
      <rPr>
        <sz val="10"/>
        <rFont val="Noto Sans CJK SC"/>
        <family val="2"/>
      </rPr>
      <t xml:space="preserve">확인 → 택시만 형식적 재현</t>
    </r>
    <r>
      <rPr>
        <sz val="10"/>
        <rFont val="Malgun Gothic"/>
        <family val="0"/>
        <charset val="1"/>
      </rPr>
      <t xml:space="preserve">)</t>
    </r>
  </si>
  <si>
    <t xml:space="preserve">N-35</t>
  </si>
  <si>
    <r>
      <rPr>
        <sz val="10"/>
        <rFont val="Noto Sans CJK SC"/>
        <family val="2"/>
      </rPr>
      <t xml:space="preserve">특별 절차 </t>
    </r>
    <r>
      <rPr>
        <sz val="10"/>
        <rFont val="Malgun Gothic"/>
        <family val="0"/>
        <charset val="1"/>
      </rPr>
      <t xml:space="preserve">- </t>
    </r>
    <r>
      <rPr>
        <sz val="10"/>
        <rFont val="Noto Sans CJK SC"/>
        <family val="2"/>
      </rPr>
      <t xml:space="preserve">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非</t>
    </r>
    <r>
      <rPr>
        <sz val="10"/>
        <rFont val="Malgun Gothic"/>
        <family val="0"/>
        <charset val="1"/>
      </rPr>
      <t xml:space="preserve">)F-16 </t>
    </r>
    <r>
      <rPr>
        <sz val="10"/>
        <rFont val="Noto Sans CJK SC"/>
        <family val="2"/>
      </rPr>
      <t xml:space="preserve">기지에서의 </t>
    </r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하이드라진 지원</t>
    </r>
  </si>
  <si>
    <t xml:space="preserve">Special Procedures - EPU Hydrazine Support at Non-F-16 Bases</t>
  </si>
  <si>
    <r>
      <rPr>
        <sz val="10"/>
        <rFont val="Malgun Gothic"/>
        <family val="0"/>
        <charset val="1"/>
      </rPr>
      <t xml:space="preserve">F-16 </t>
    </r>
    <r>
      <rPr>
        <sz val="10"/>
        <rFont val="Noto Sans CJK SC"/>
        <family val="2"/>
      </rPr>
      <t xml:space="preserve">지원이 없는 기지에서 </t>
    </r>
    <r>
      <rPr>
        <sz val="10"/>
        <rFont val="Malgun Gothic"/>
        <family val="0"/>
        <charset val="1"/>
      </rPr>
      <t xml:space="preserve">EPU </t>
    </r>
    <r>
      <rPr>
        <sz val="10"/>
        <rFont val="Noto Sans CJK SC"/>
        <family val="2"/>
      </rPr>
      <t xml:space="preserve">작동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하이드라진 누출 발생 시</t>
    </r>
  </si>
  <si>
    <t xml:space="preserve">E1-01</t>
  </si>
  <si>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코션등</t>
    </r>
    <r>
      <rPr>
        <sz val="10"/>
        <rFont val="Malgun Gothic"/>
        <family val="0"/>
        <charset val="1"/>
      </rPr>
      <t xml:space="preserve">·PFL </t>
    </r>
    <r>
      <rPr>
        <sz val="10"/>
        <rFont val="Noto Sans CJK SC"/>
        <family val="2"/>
      </rPr>
      <t xml:space="preserve">분석 표</t>
    </r>
    <r>
      <rPr>
        <sz val="10"/>
        <rFont val="Malgun Gothic"/>
        <family val="0"/>
        <charset val="1"/>
      </rPr>
      <t xml:space="preserve">(FORMAT </t>
    </r>
    <r>
      <rPr>
        <sz val="10"/>
        <rFont val="Noto Sans CJK SC"/>
        <family val="2"/>
      </rPr>
      <t xml:space="preserve">포함</t>
    </r>
    <r>
      <rPr>
        <sz val="10"/>
        <rFont val="Malgun Gothic"/>
        <family val="0"/>
        <charset val="1"/>
      </rPr>
      <t xml:space="preserve">)</t>
    </r>
  </si>
  <si>
    <t xml:space="preserve">Warning and Caution Light and Pilot Fault List Analysis (Format)</t>
  </si>
  <si>
    <r>
      <rPr>
        <sz val="10"/>
        <rFont val="Noto Sans CJK SC"/>
        <family val="2"/>
      </rPr>
      <t xml:space="preserve">경고등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코션등 점등</t>
    </r>
    <r>
      <rPr>
        <sz val="10"/>
        <rFont val="Malgun Gothic"/>
        <family val="0"/>
        <charset val="1"/>
      </rPr>
      <t xml:space="preserve">, MASTER CAUTION </t>
    </r>
    <r>
      <rPr>
        <sz val="10"/>
        <rFont val="Noto Sans CJK SC"/>
        <family val="2"/>
      </rPr>
      <t xml:space="preserve">점등</t>
    </r>
    <r>
      <rPr>
        <sz val="10"/>
        <rFont val="Malgun Gothic"/>
        <family val="0"/>
        <charset val="1"/>
      </rPr>
      <t xml:space="preserve">, PFLD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PFL </t>
    </r>
    <r>
      <rPr>
        <sz val="10"/>
        <rFont val="Noto Sans CJK SC"/>
        <family val="2"/>
      </rPr>
      <t xml:space="preserve">표시</t>
    </r>
    <r>
      <rPr>
        <sz val="10"/>
        <rFont val="Malgun Gothic"/>
        <family val="0"/>
        <charset val="1"/>
      </rPr>
      <t xml:space="preserve">, HUD WARN/FUEL </t>
    </r>
    <r>
      <rPr>
        <sz val="10"/>
        <rFont val="Noto Sans CJK SC"/>
        <family val="2"/>
      </rPr>
      <t xml:space="preserve">심볼 점멸 시</t>
    </r>
  </si>
  <si>
    <r>
      <rPr>
        <sz val="10"/>
        <rFont val="Noto Sans CJK SC"/>
        <family val="2"/>
      </rPr>
      <t xml:space="preserve">등화 점등 → </t>
    </r>
    <r>
      <rPr>
        <sz val="10"/>
        <rFont val="Malgun Gothic"/>
        <family val="0"/>
        <charset val="1"/>
      </rPr>
      <t xml:space="preserve">Master Caution </t>
    </r>
    <r>
      <rPr>
        <sz val="10"/>
        <rFont val="Noto Sans CJK SC"/>
        <family val="2"/>
      </rPr>
      <t xml:space="preserve">리셋 → </t>
    </r>
    <r>
      <rPr>
        <sz val="10"/>
        <rFont val="Malgun Gothic"/>
        <family val="0"/>
        <charset val="1"/>
      </rPr>
      <t xml:space="preserve">PFLD/F-ACK → HUD WARN RESET → </t>
    </r>
    <r>
      <rPr>
        <sz val="10"/>
        <rFont val="Noto Sans CJK SC"/>
        <family val="2"/>
      </rPr>
      <t xml:space="preserve">해당 비상절차 참조 </t>
    </r>
    <r>
      <rPr>
        <sz val="10"/>
        <rFont val="Malgun Gothic"/>
        <family val="0"/>
        <charset val="1"/>
      </rPr>
      <t xml:space="preserve">(DCS: </t>
    </r>
    <r>
      <rPr>
        <sz val="10"/>
        <rFont val="Noto Sans CJK SC"/>
        <family val="2"/>
      </rPr>
      <t xml:space="preserve">글레어실드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코션 패널</t>
    </r>
    <r>
      <rPr>
        <sz val="10"/>
        <rFont val="Malgun Gothic"/>
        <family val="0"/>
        <charset val="1"/>
      </rPr>
      <t xml:space="preserve">·ELEC </t>
    </r>
    <r>
      <rPr>
        <sz val="10"/>
        <rFont val="Noto Sans CJK SC"/>
        <family val="2"/>
      </rPr>
      <t xml:space="preserve">패널 등화는 구현</t>
    </r>
    <r>
      <rPr>
        <sz val="10"/>
        <rFont val="Malgun Gothic"/>
        <family val="0"/>
        <charset val="1"/>
      </rPr>
      <t xml:space="preserve">, PW229/TF/PX III </t>
    </r>
    <r>
      <rPr>
        <sz val="10"/>
        <rFont val="Noto Sans CJK SC"/>
        <family val="2"/>
      </rPr>
      <t xml:space="preserve">계열은 미구현</t>
    </r>
    <r>
      <rPr>
        <sz val="10"/>
        <rFont val="Malgun Gothic"/>
        <family val="0"/>
        <charset val="1"/>
      </rPr>
      <t xml:space="preserve">)</t>
    </r>
  </si>
  <si>
    <t xml:space="preserve">3-4 ~ 3-25</t>
  </si>
  <si>
    <t xml:space="preserve">W-16</t>
  </si>
  <si>
    <t xml:space="preserve">화산재 운용 — 지상운용</t>
  </si>
  <si>
    <t xml:space="preserve">Volcanic Ash Operation - Ground Operations</t>
  </si>
  <si>
    <r>
      <rPr>
        <sz val="10"/>
        <rFont val="Noto Sans CJK SC"/>
        <family val="2"/>
      </rPr>
      <t xml:space="preserve">비행장 또는 항로에 화산재 낙하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부유가 보고된 경우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</si>
  <si>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화산재 지상운용 — </t>
    </r>
    <r>
      <rPr>
        <sz val="10"/>
        <rFont val="Malgun Gothic"/>
        <family val="0"/>
        <charset val="1"/>
      </rPr>
      <t xml:space="preserve">ANTI ICE OFF, </t>
    </r>
    <r>
      <rPr>
        <sz val="10"/>
        <rFont val="Noto Sans CJK SC"/>
        <family val="2"/>
      </rPr>
      <t xml:space="preserve">지상 시간 최소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롤링 이륙 형식 재현만 가능</t>
    </r>
  </si>
  <si>
    <t xml:space="preserve">SD-02</t>
  </si>
  <si>
    <r>
      <rPr>
        <sz val="10"/>
        <rFont val="Malgun Gothic"/>
        <family val="0"/>
        <charset val="1"/>
      </rPr>
      <t xml:space="preserve">DED </t>
    </r>
    <r>
      <rPr>
        <sz val="10"/>
        <rFont val="Noto Sans CJK SC"/>
        <family val="2"/>
      </rPr>
      <t xml:space="preserve">페이지 목록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카탈로그</t>
    </r>
    <r>
      <rPr>
        <sz val="10"/>
        <rFont val="Malgun Gothic"/>
        <family val="0"/>
        <charset val="1"/>
      </rPr>
      <t xml:space="preserve">)</t>
    </r>
  </si>
  <si>
    <t xml:space="preserve">Catalog of DED Pages</t>
  </si>
  <si>
    <r>
      <rPr>
        <sz val="10"/>
        <rFont val="Noto Sans CJK SC"/>
        <family val="2"/>
      </rPr>
      <t xml:space="preserve">특정 </t>
    </r>
    <r>
      <rPr>
        <sz val="10"/>
        <rFont val="Malgun Gothic"/>
        <family val="0"/>
        <charset val="1"/>
      </rPr>
      <t xml:space="preserve">DED </t>
    </r>
    <r>
      <rPr>
        <sz val="10"/>
        <rFont val="Noto Sans CJK SC"/>
        <family val="2"/>
      </rPr>
      <t xml:space="preserve">기능</t>
    </r>
    <r>
      <rPr>
        <sz val="10"/>
        <rFont val="Malgun Gothic"/>
        <family val="0"/>
        <charset val="1"/>
      </rPr>
      <t xml:space="preserve">(TACAN, ALOW, STPT, CRUS, TIME, BINGO, DLNK, CMDS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에 접근해야 할 때</t>
    </r>
  </si>
  <si>
    <r>
      <rPr>
        <sz val="10"/>
        <rFont val="Malgun Gothic"/>
        <family val="0"/>
        <charset val="1"/>
      </rPr>
      <t xml:space="preserve">RTN=CNI → Override(COM1/COM2/IFF/LIST) → Priority 1/2/4/5/6/7/8/9 → LIST </t>
    </r>
    <r>
      <rPr>
        <sz val="10"/>
        <rFont val="Noto Sans CJK SC"/>
        <family val="2"/>
      </rPr>
      <t xml:space="preserve">서브 → </t>
    </r>
    <r>
      <rPr>
        <sz val="10"/>
        <rFont val="Malgun Gothic"/>
        <family val="0"/>
        <charset val="1"/>
      </rPr>
      <t xml:space="preserve">MISC </t>
    </r>
    <r>
      <rPr>
        <sz val="10"/>
        <rFont val="Noto Sans CJK SC"/>
        <family val="2"/>
      </rPr>
      <t xml:space="preserve">서브 → </t>
    </r>
    <r>
      <rPr>
        <sz val="10"/>
        <rFont val="Malgun Gothic"/>
        <family val="0"/>
        <charset val="1"/>
      </rPr>
      <t xml:space="preserve">Dobber/ENTR/RCL/M-SEL</t>
    </r>
  </si>
  <si>
    <t xml:space="preserve">1-53</t>
  </si>
  <si>
    <t xml:space="preserve">SD-04</t>
  </si>
  <si>
    <r>
      <rPr>
        <sz val="10"/>
        <rFont val="Noto Sans CJK SC"/>
        <family val="2"/>
      </rPr>
      <t xml:space="preserve">선택적 투하</t>
    </r>
    <r>
      <rPr>
        <sz val="10"/>
        <rFont val="Malgun Gothic"/>
        <family val="0"/>
        <charset val="1"/>
      </rPr>
      <t xml:space="preserve">(Selective Jettison, S-J) </t>
    </r>
    <r>
      <rPr>
        <sz val="10"/>
        <rFont val="Noto Sans CJK SC"/>
        <family val="2"/>
      </rPr>
      <t xml:space="preserve">모드 페이지 운용</t>
    </r>
  </si>
  <si>
    <t xml:space="preserve">Selective Jettison (S-J) Mode Page Operation</t>
  </si>
  <si>
    <r>
      <rPr>
        <sz val="10"/>
        <rFont val="Noto Sans CJK SC"/>
        <family val="2"/>
      </rPr>
      <t xml:space="preserve">외부탱크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랙 분리 필요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행업</t>
    </r>
    <r>
      <rPr>
        <sz val="10"/>
        <rFont val="Malgun Gothic"/>
        <family val="0"/>
        <charset val="1"/>
      </rPr>
      <t xml:space="preserve">(HUNG) </t>
    </r>
    <r>
      <rPr>
        <sz val="10"/>
        <rFont val="Noto Sans CJK SC"/>
        <family val="2"/>
      </rPr>
      <t xml:space="preserve">무장 처리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성능 확보를 위한 경량화 필요 시</t>
    </r>
  </si>
  <si>
    <r>
      <rPr>
        <sz val="10"/>
        <rFont val="Malgun Gothic"/>
        <family val="0"/>
        <charset val="1"/>
      </rPr>
      <t xml:space="preserve">SMS → S-J OSB → </t>
    </r>
    <r>
      <rPr>
        <sz val="10"/>
        <rFont val="Noto Sans CJK SC"/>
        <family val="2"/>
      </rPr>
      <t xml:space="preserve">스테이션 </t>
    </r>
    <r>
      <rPr>
        <sz val="10"/>
        <rFont val="Malgun Gothic"/>
        <family val="0"/>
        <charset val="1"/>
      </rPr>
      <t xml:space="preserve">OSB 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하이라이트</t>
    </r>
    <r>
      <rPr>
        <sz val="10"/>
        <rFont val="Malgun Gothic"/>
        <family val="0"/>
        <charset val="1"/>
      </rPr>
      <t xml:space="preserve">) → WPN REL → </t>
    </r>
    <r>
      <rPr>
        <sz val="10"/>
        <rFont val="Noto Sans CJK SC"/>
        <family val="2"/>
      </rPr>
      <t xml:space="preserve">표시 소거 확인</t>
    </r>
  </si>
  <si>
    <t xml:space="preserve">1-100</t>
  </si>
  <si>
    <t xml:space="preserve">SD-12</t>
  </si>
  <si>
    <r>
      <rPr>
        <sz val="10"/>
        <rFont val="Malgun Gothic"/>
        <family val="0"/>
        <charset val="1"/>
      </rPr>
      <t xml:space="preserve">TGP </t>
    </r>
    <r>
      <rPr>
        <sz val="10"/>
        <rFont val="Noto Sans CJK SC"/>
        <family val="2"/>
      </rPr>
      <t xml:space="preserve">레이저 안전</t>
    </r>
    <r>
      <rPr>
        <sz val="10"/>
        <rFont val="Malgun Gothic"/>
        <family val="0"/>
        <charset val="1"/>
      </rPr>
      <t xml:space="preserve">(SEED) </t>
    </r>
    <r>
      <rPr>
        <sz val="10"/>
        <rFont val="Noto Sans CJK SC"/>
        <family val="2"/>
      </rPr>
      <t xml:space="preserve">고려사항</t>
    </r>
  </si>
  <si>
    <t xml:space="preserve">Laser Safety</t>
  </si>
  <si>
    <r>
      <rPr>
        <sz val="10"/>
        <rFont val="Noto Sans CJK SC"/>
        <family val="2"/>
      </rPr>
      <t xml:space="preserve">전투 모드 레이저 발사 계획 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편대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지상군과 근접 비행 시</t>
    </r>
  </si>
  <si>
    <r>
      <rPr>
        <sz val="10"/>
        <rFont val="Noto Sans CJK SC"/>
        <family val="2"/>
      </rPr>
      <t xml:space="preserve">해당 없음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미구현</t>
    </r>
    <r>
      <rPr>
        <sz val="10"/>
        <rFont val="Malgun Gothic"/>
        <family val="0"/>
        <charset val="1"/>
      </rPr>
      <t xml:space="preserve">) — </t>
    </r>
    <r>
      <rPr>
        <sz val="10"/>
        <rFont val="Noto Sans CJK SC"/>
        <family val="2"/>
      </rPr>
      <t xml:space="preserve">절차적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레이징 전 편대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지상군 </t>
    </r>
    <r>
      <rPr>
        <sz val="10"/>
        <rFont val="Malgun Gothic"/>
        <family val="0"/>
        <charset val="1"/>
      </rPr>
      <t xml:space="preserve">SEED </t>
    </r>
    <r>
      <rPr>
        <sz val="10"/>
        <rFont val="Noto Sans CJK SC"/>
        <family val="2"/>
      </rPr>
      <t xml:space="preserve">이격 확인</t>
    </r>
  </si>
  <si>
    <t xml:space="preserve">1-228</t>
  </si>
  <si>
    <t xml:space="preserve">MP-14</t>
  </si>
  <si>
    <r>
      <rPr>
        <sz val="10"/>
        <rFont val="Malgun Gothic"/>
        <family val="0"/>
        <charset val="1"/>
      </rPr>
      <t xml:space="preserve">TIME </t>
    </r>
    <r>
      <rPr>
        <sz val="10"/>
        <rFont val="Noto Sans CJK SC"/>
        <family val="2"/>
      </rPr>
      <t xml:space="preserve">페이지를 통한 핵타임</t>
    </r>
    <r>
      <rPr>
        <sz val="10"/>
        <rFont val="Malgun Gothic"/>
        <family val="0"/>
        <charset val="1"/>
      </rPr>
      <t xml:space="preserve">(Hack Time) </t>
    </r>
    <r>
      <rPr>
        <sz val="10"/>
        <rFont val="Noto Sans CJK SC"/>
        <family val="2"/>
      </rPr>
      <t xml:space="preserve">입력 절차</t>
    </r>
  </si>
  <si>
    <t xml:space="preserve">Hack Time Entry Via TIME Page Procedures</t>
  </si>
  <si>
    <r>
      <rPr>
        <sz val="10"/>
        <rFont val="Noto Sans CJK SC"/>
        <family val="2"/>
      </rPr>
      <t xml:space="preserve">편대장의 </t>
    </r>
    <r>
      <rPr>
        <sz val="10"/>
        <rFont val="Malgun Gothic"/>
        <family val="0"/>
        <charset val="1"/>
      </rPr>
      <t xml:space="preserve">'Hack' </t>
    </r>
    <r>
      <rPr>
        <sz val="10"/>
        <rFont val="Noto Sans CJK SC"/>
        <family val="2"/>
      </rPr>
      <t xml:space="preserve">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이륙 롤 시작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구간 계시가 필요한 시점</t>
    </r>
  </si>
  <si>
    <r>
      <rPr>
        <sz val="10"/>
        <rFont val="Malgun Gothic"/>
        <family val="0"/>
        <charset val="1"/>
      </rPr>
      <t xml:space="preserve">CNI → TIME(6) → HACK </t>
    </r>
    <r>
      <rPr>
        <sz val="10"/>
        <rFont val="Noto Sans CJK SC"/>
        <family val="2"/>
      </rPr>
      <t xml:space="preserve">필드 선택 → 시작값 입력 → </t>
    </r>
    <r>
      <rPr>
        <sz val="10"/>
        <rFont val="Malgun Gothic"/>
        <family val="0"/>
        <charset val="1"/>
      </rPr>
      <t xml:space="preserve">ENTR/INC(</t>
    </r>
    <r>
      <rPr>
        <sz val="10"/>
        <rFont val="Noto Sans CJK SC"/>
        <family val="2"/>
      </rPr>
      <t xml:space="preserve">계수 확인</t>
    </r>
    <r>
      <rPr>
        <sz val="10"/>
        <rFont val="Malgun Gothic"/>
        <family val="0"/>
        <charset val="1"/>
      </rPr>
      <t xml:space="preserve">) → RTN</t>
    </r>
  </si>
  <si>
    <t xml:space="preserve">1-305</t>
  </si>
  <si>
    <t xml:space="preserve">MP-15</t>
  </si>
  <si>
    <r>
      <rPr>
        <sz val="10"/>
        <rFont val="Malgun Gothic"/>
        <family val="0"/>
        <charset val="1"/>
      </rPr>
      <t xml:space="preserve">CRUS TOS </t>
    </r>
    <r>
      <rPr>
        <sz val="10"/>
        <rFont val="Noto Sans CJK SC"/>
        <family val="2"/>
      </rPr>
      <t xml:space="preserve">페이지를 통한 핵타임 입력 절차</t>
    </r>
  </si>
  <si>
    <t xml:space="preserve">Hack Time Entry Via CRUS TOS Page Procedures</t>
  </si>
  <si>
    <r>
      <rPr>
        <sz val="10"/>
        <rFont val="Malgun Gothic"/>
        <family val="0"/>
        <charset val="1"/>
      </rPr>
      <t xml:space="preserve">CRUS TOS </t>
    </r>
    <r>
      <rPr>
        <sz val="10"/>
        <rFont val="Noto Sans CJK SC"/>
        <family val="2"/>
      </rPr>
      <t xml:space="preserve">페이지를 이미 사용 중인 상태에서 핵타임 기준으로 </t>
    </r>
    <r>
      <rPr>
        <sz val="10"/>
        <rFont val="Malgun Gothic"/>
        <family val="0"/>
        <charset val="1"/>
      </rPr>
      <t xml:space="preserve">TOS</t>
    </r>
    <r>
      <rPr>
        <sz val="10"/>
        <rFont val="Noto Sans CJK SC"/>
        <family val="2"/>
      </rPr>
      <t xml:space="preserve">를 운용하려 할 때</t>
    </r>
  </si>
  <si>
    <r>
      <rPr>
        <sz val="10"/>
        <rFont val="Malgun Gothic"/>
        <family val="0"/>
        <charset val="1"/>
      </rPr>
      <t xml:space="preserve">CNI → CRUS(5) TOS → HK TIME </t>
    </r>
    <r>
      <rPr>
        <sz val="10"/>
        <rFont val="Noto Sans CJK SC"/>
        <family val="2"/>
      </rPr>
      <t xml:space="preserve">필드 → 입력 </t>
    </r>
    <r>
      <rPr>
        <sz val="10"/>
        <rFont val="Malgun Gothic"/>
        <family val="0"/>
        <charset val="1"/>
      </rPr>
      <t xml:space="preserve">ENTR → RTN (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TIME(6) </t>
    </r>
    <r>
      <rPr>
        <sz val="10"/>
        <rFont val="Noto Sans CJK SC"/>
        <family val="2"/>
      </rPr>
      <t xml:space="preserve">페이지 사용</t>
    </r>
    <r>
      <rPr>
        <sz val="10"/>
        <rFont val="Malgun Gothic"/>
        <family val="0"/>
        <charset val="1"/>
      </rPr>
      <t xml:space="preserve">)</t>
    </r>
  </si>
  <si>
    <t xml:space="preserve">MP-16</t>
  </si>
  <si>
    <r>
      <rPr>
        <sz val="10"/>
        <rFont val="Noto Sans CJK SC"/>
        <family val="2"/>
      </rPr>
      <t xml:space="preserve">핵타임 관리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시작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정지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리셋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절차</t>
    </r>
  </si>
  <si>
    <t xml:space="preserve">Hack Time Management Procedures</t>
  </si>
  <si>
    <r>
      <rPr>
        <sz val="10"/>
        <rFont val="Noto Sans CJK SC"/>
        <family val="2"/>
      </rPr>
      <t xml:space="preserve">구간 계시 시작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종료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타이밍 재설정이 필요한 시점</t>
    </r>
  </si>
  <si>
    <r>
      <rPr>
        <sz val="10"/>
        <rFont val="Malgun Gothic"/>
        <family val="0"/>
        <charset val="1"/>
      </rPr>
      <t xml:space="preserve">CNI → TIME(6) → HACK </t>
    </r>
    <r>
      <rPr>
        <sz val="10"/>
        <rFont val="Noto Sans CJK SC"/>
        <family val="2"/>
      </rPr>
      <t xml:space="preserve">필드 → </t>
    </r>
    <r>
      <rPr>
        <sz val="10"/>
        <rFont val="Malgun Gothic"/>
        <family val="0"/>
        <charset val="1"/>
      </rPr>
      <t xml:space="preserve">INC </t>
    </r>
    <r>
      <rPr>
        <sz val="10"/>
        <rFont val="Noto Sans CJK SC"/>
        <family val="2"/>
      </rPr>
      <t xml:space="preserve">시작</t>
    </r>
    <r>
      <rPr>
        <sz val="10"/>
        <rFont val="Malgun Gothic"/>
        <family val="0"/>
        <charset val="1"/>
      </rPr>
      <t xml:space="preserve">/INC </t>
    </r>
    <r>
      <rPr>
        <sz val="10"/>
        <rFont val="Noto Sans CJK SC"/>
        <family val="2"/>
      </rPr>
      <t xml:space="preserve">동결</t>
    </r>
    <r>
      <rPr>
        <sz val="10"/>
        <rFont val="Malgun Gothic"/>
        <family val="0"/>
        <charset val="1"/>
      </rPr>
      <t xml:space="preserve">/INC </t>
    </r>
    <r>
      <rPr>
        <sz val="10"/>
        <rFont val="Noto Sans CJK SC"/>
        <family val="2"/>
      </rPr>
      <t xml:space="preserve">갱신 → </t>
    </r>
    <r>
      <rPr>
        <sz val="10"/>
        <rFont val="Malgun Gothic"/>
        <family val="0"/>
        <charset val="1"/>
      </rPr>
      <t xml:space="preserve">DEC </t>
    </r>
    <r>
      <rPr>
        <sz val="10"/>
        <rFont val="Noto Sans CJK SC"/>
        <family val="2"/>
      </rPr>
      <t xml:space="preserve">리셋 → </t>
    </r>
    <r>
      <rPr>
        <sz val="10"/>
        <rFont val="Malgun Gothic"/>
        <family val="0"/>
        <charset val="1"/>
      </rPr>
      <t xml:space="preserve">RTN</t>
    </r>
  </si>
  <si>
    <t xml:space="preserve">IF-26</t>
  </si>
  <si>
    <t xml:space="preserve">오버플라이 마크 절차</t>
  </si>
  <si>
    <t xml:space="preserve">Overfly Mark Procedures</t>
  </si>
  <si>
    <r>
      <rPr>
        <sz val="10"/>
        <rFont val="Noto Sans CJK SC"/>
        <family val="2"/>
      </rPr>
      <t xml:space="preserve">현재 항공기 위치를 기록해야 할 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위협 상공 통과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비상 착륙지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편대원 추락 지점 등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</si>
  <si>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CNI → MARK(7) → (SEQ</t>
    </r>
    <r>
      <rPr>
        <sz val="10"/>
        <rFont val="Noto Sans CJK SC"/>
        <family val="2"/>
      </rPr>
      <t xml:space="preserve">로</t>
    </r>
    <r>
      <rPr>
        <sz val="10"/>
        <rFont val="Malgun Gothic"/>
        <family val="0"/>
        <charset val="1"/>
      </rPr>
      <t xml:space="preserve">) OFLY → TMS UP → (M-SEL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STPT </t>
    </r>
    <r>
      <rPr>
        <sz val="10"/>
        <rFont val="Noto Sans CJK SC"/>
        <family val="2"/>
      </rPr>
      <t xml:space="preserve">지정</t>
    </r>
    <r>
      <rPr>
        <sz val="10"/>
        <rFont val="Malgun Gothic"/>
        <family val="0"/>
        <charset val="1"/>
      </rPr>
      <t xml:space="preserve">) → RTN</t>
    </r>
  </si>
  <si>
    <t xml:space="preserve">1-385</t>
  </si>
  <si>
    <t xml:space="preserve">IF-27</t>
  </si>
  <si>
    <t xml:space="preserve">센서 마크 절차</t>
  </si>
  <si>
    <t xml:space="preserve">Sensor Mark Procedures</t>
  </si>
  <si>
    <r>
      <rPr>
        <sz val="10"/>
        <rFont val="Noto Sans CJK SC"/>
        <family val="2"/>
      </rPr>
      <t xml:space="preserve">센서</t>
    </r>
    <r>
      <rPr>
        <sz val="10"/>
        <rFont val="Malgun Gothic"/>
        <family val="0"/>
        <charset val="1"/>
      </rPr>
      <t xml:space="preserve">(HUD/FCR/TGP)</t>
    </r>
    <r>
      <rPr>
        <sz val="10"/>
        <rFont val="Noto Sans CJK SC"/>
        <family val="2"/>
      </rPr>
      <t xml:space="preserve">로 식별한 표적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관심지점 좌표를 저장해야 할 때</t>
    </r>
  </si>
  <si>
    <r>
      <rPr>
        <sz val="10"/>
        <rFont val="Malgun Gothic"/>
        <family val="0"/>
        <charset val="1"/>
      </rPr>
      <t xml:space="preserve">CNI → </t>
    </r>
    <r>
      <rPr>
        <sz val="10"/>
        <rFont val="Noto Sans CJK SC"/>
        <family val="2"/>
      </rPr>
      <t xml:space="preserve">센서 </t>
    </r>
    <r>
      <rPr>
        <sz val="10"/>
        <rFont val="Malgun Gothic"/>
        <family val="0"/>
        <charset val="1"/>
      </rPr>
      <t xml:space="preserve">SOI(DMS) → </t>
    </r>
    <r>
      <rPr>
        <sz val="10"/>
        <rFont val="Noto Sans CJK SC"/>
        <family val="2"/>
      </rPr>
      <t xml:space="preserve">커서 슬루</t>
    </r>
    <r>
      <rPr>
        <sz val="10"/>
        <rFont val="Malgun Gothic"/>
        <family val="0"/>
        <charset val="1"/>
      </rPr>
      <t xml:space="preserve">/TMS UP </t>
    </r>
    <r>
      <rPr>
        <sz val="10"/>
        <rFont val="Noto Sans CJK SC"/>
        <family val="2"/>
      </rPr>
      <t xml:space="preserve">지정 → </t>
    </r>
    <r>
      <rPr>
        <sz val="10"/>
        <rFont val="Malgun Gothic"/>
        <family val="0"/>
        <charset val="1"/>
      </rPr>
      <t xml:space="preserve">MARK(7) → TMS UP </t>
    </r>
    <r>
      <rPr>
        <sz val="10"/>
        <rFont val="Noto Sans CJK SC"/>
        <family val="2"/>
      </rPr>
      <t xml:space="preserve">확정 → </t>
    </r>
    <r>
      <rPr>
        <sz val="10"/>
        <rFont val="Malgun Gothic"/>
        <family val="0"/>
        <charset val="1"/>
      </rPr>
      <t xml:space="preserve">(M-SEL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STPT </t>
    </r>
    <r>
      <rPr>
        <sz val="10"/>
        <rFont val="Noto Sans CJK SC"/>
        <family val="2"/>
      </rPr>
      <t xml:space="preserve">지정</t>
    </r>
    <r>
      <rPr>
        <sz val="10"/>
        <rFont val="Malgun Gothic"/>
        <family val="0"/>
        <charset val="1"/>
      </rPr>
      <t xml:space="preserve">) → RTN</t>
    </r>
  </si>
  <si>
    <t xml:space="preserve">AB-01</t>
  </si>
  <si>
    <r>
      <rPr>
        <sz val="10"/>
        <rFont val="Noto Sans CJK SC"/>
        <family val="2"/>
      </rPr>
      <t xml:space="preserve">정비결함목록</t>
    </r>
    <r>
      <rPr>
        <sz val="10"/>
        <rFont val="Malgun Gothic"/>
        <family val="0"/>
        <charset val="1"/>
      </rPr>
      <t xml:space="preserve">(MFL) </t>
    </r>
    <r>
      <rPr>
        <sz val="10"/>
        <rFont val="Noto Sans CJK SC"/>
        <family val="2"/>
      </rPr>
      <t xml:space="preserve">절차</t>
    </r>
  </si>
  <si>
    <t xml:space="preserve">Maintenance Fault List (MFL) Procedures</t>
  </si>
  <si>
    <r>
      <rPr>
        <sz val="10"/>
        <rFont val="Noto Sans CJK SC"/>
        <family val="2"/>
      </rPr>
      <t xml:space="preserve">시동 후 항전 셋업 완료 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임무 전 소거</t>
    </r>
    <r>
      <rPr>
        <sz val="10"/>
        <rFont val="Malgun Gothic"/>
        <family val="0"/>
        <charset val="1"/>
      </rPr>
      <t xml:space="preserve">), AVIONICS/ENGINE FAULT </t>
    </r>
    <r>
      <rPr>
        <sz val="10"/>
        <rFont val="Noto Sans CJK SC"/>
        <family val="2"/>
      </rPr>
      <t xml:space="preserve">코션 발생 후 상세 결함코드 확인이 필요할 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착륙 후 정비 인계 시</t>
    </r>
  </si>
  <si>
    <r>
      <rPr>
        <sz val="10"/>
        <rFont val="Malgun Gothic"/>
        <family val="0"/>
        <charset val="1"/>
      </rPr>
      <t xml:space="preserve">MFD Main Menu → TEST </t>
    </r>
    <r>
      <rPr>
        <sz val="10"/>
        <rFont val="Noto Sans CJK SC"/>
        <family val="2"/>
      </rPr>
      <t xml:space="preserve">페이지 → </t>
    </r>
    <r>
      <rPr>
        <sz val="10"/>
        <rFont val="Malgun Gothic"/>
        <family val="0"/>
        <charset val="1"/>
      </rPr>
      <t xml:space="preserve">MFL </t>
    </r>
    <r>
      <rPr>
        <sz val="10"/>
        <rFont val="Noto Sans CJK SC"/>
        <family val="2"/>
      </rPr>
      <t xml:space="preserve">확인 → </t>
    </r>
    <r>
      <rPr>
        <sz val="10"/>
        <rFont val="Malgun Gothic"/>
        <family val="0"/>
        <charset val="1"/>
      </rPr>
      <t xml:space="preserve">CLR OSB (</t>
    </r>
    <r>
      <rPr>
        <sz val="10"/>
        <rFont val="Noto Sans CJK SC"/>
        <family val="2"/>
      </rPr>
      <t xml:space="preserve">임무 전 소거</t>
    </r>
    <r>
      <rPr>
        <sz val="10"/>
        <rFont val="Malgun Gothic"/>
        <family val="0"/>
        <charset val="1"/>
      </rPr>
      <t xml:space="preserve">)</t>
    </r>
  </si>
  <si>
    <t xml:space="preserve">1-472</t>
  </si>
  <si>
    <t xml:space="preserve">코드</t>
  </si>
  <si>
    <r>
      <rPr>
        <b val="true"/>
        <sz val="10"/>
        <color rgb="FFFFFFFF"/>
        <rFont val="Malgun Gothic"/>
        <family val="0"/>
        <charset val="1"/>
      </rPr>
      <t xml:space="preserve">Dash-1 </t>
    </r>
    <r>
      <rPr>
        <b val="true"/>
        <sz val="10"/>
        <color rgb="FFFFFFFF"/>
        <rFont val="Noto Sans CJK SC"/>
        <family val="2"/>
      </rPr>
      <t xml:space="preserve">절차 수</t>
    </r>
  </si>
  <si>
    <r>
      <rPr>
        <b val="true"/>
        <sz val="10"/>
        <color rgb="FFFFFFFF"/>
        <rFont val="Malgun Gothic"/>
        <family val="0"/>
        <charset val="1"/>
      </rPr>
      <t xml:space="preserve">Dash-34 </t>
    </r>
    <r>
      <rPr>
        <b val="true"/>
        <sz val="10"/>
        <color rgb="FFFFFFFF"/>
        <rFont val="Noto Sans CJK SC"/>
        <family val="2"/>
      </rPr>
      <t xml:space="preserve">절차 수</t>
    </r>
  </si>
  <si>
    <t xml:space="preserve">합계</t>
  </si>
  <si>
    <t xml:space="preserve">설명</t>
  </si>
  <si>
    <r>
      <rPr>
        <sz val="10"/>
        <rFont val="Malgun Gothic"/>
        <family val="0"/>
        <charset val="1"/>
      </rPr>
      <t xml:space="preserve">Dash-1(</t>
    </r>
    <r>
      <rPr>
        <sz val="10"/>
        <rFont val="Noto Sans CJK SC"/>
        <family val="2"/>
      </rPr>
      <t xml:space="preserve">비행 매뉴얼 </t>
    </r>
    <r>
      <rPr>
        <sz val="10"/>
        <rFont val="Malgun Gothic"/>
        <family val="0"/>
        <charset val="1"/>
      </rPr>
      <t xml:space="preserve">T.O. GR1F-16CJ-1)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Dash-34(</t>
    </r>
    <r>
      <rPr>
        <sz val="10"/>
        <rFont val="Noto Sans CJK SC"/>
        <family val="2"/>
      </rPr>
      <t xml:space="preserve">항전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무장 </t>
    </r>
    <r>
      <rPr>
        <sz val="10"/>
        <rFont val="Malgun Gothic"/>
        <family val="0"/>
        <charset val="1"/>
      </rPr>
      <t xml:space="preserve">T.O. GR1F-16CJ-34-1-1)</t>
    </r>
    <r>
      <rPr>
        <sz val="10"/>
        <rFont val="Noto Sans CJK SC"/>
        <family val="2"/>
      </rPr>
      <t xml:space="preserve">의 절차를 같은 임무단계 코드로 합친 체크리스트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각 절차의 상세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원문 단계</t>
    </r>
    <r>
      <rPr>
        <sz val="10"/>
        <rFont val="Malgun Gothic"/>
        <family val="0"/>
        <charset val="1"/>
      </rPr>
      <t xml:space="preserve">, DCS </t>
    </r>
    <r>
      <rPr>
        <sz val="10"/>
        <rFont val="Noto Sans CJK SC"/>
        <family val="2"/>
      </rPr>
      <t xml:space="preserve">조작 절차</t>
    </r>
    <r>
      <rPr>
        <sz val="10"/>
        <rFont val="Malgun Gothic"/>
        <family val="0"/>
        <charset val="1"/>
      </rPr>
      <t xml:space="preserve">, Chuck's Guide </t>
    </r>
    <r>
      <rPr>
        <sz val="10"/>
        <rFont val="Noto Sans CJK SC"/>
        <family val="2"/>
      </rPr>
      <t xml:space="preserve">참조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는 각 정리본 파일의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절차 마스터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시트를 </t>
    </r>
    <r>
      <rPr>
        <sz val="10"/>
        <rFont val="Malgun Gothic"/>
        <family val="0"/>
        <charset val="1"/>
      </rPr>
      <t xml:space="preserve">ID</t>
    </r>
    <r>
      <rPr>
        <sz val="10"/>
        <rFont val="Noto Sans CJK SC"/>
        <family val="2"/>
      </rPr>
      <t xml:space="preserve">로 찾아보세요</t>
    </r>
    <r>
      <rPr>
        <sz val="10"/>
        <rFont val="Malgun Gothic"/>
        <family val="0"/>
        <charset val="1"/>
      </rPr>
      <t xml:space="preserve">. BOLDFACE ●</t>
    </r>
    <r>
      <rPr>
        <sz val="10"/>
        <rFont val="Noto Sans CJK SC"/>
        <family val="2"/>
      </rPr>
      <t xml:space="preserve">는 비상 암기 항목 포함 절차</t>
    </r>
    <r>
      <rPr>
        <sz val="10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</si>
</sst>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Malgun Gothic"/>
      <family val="0"/>
      <charset val="1"/>
    </font>
    <font>
      <b val="true"/>
      <sz val="10"/>
      <name val="Noto Sans CJK SC"/>
      <family val="2"/>
    </font>
    <font>
      <sz val="10"/>
      <name val="Malgun Gothic"/>
      <family val="0"/>
      <charset val="1"/>
    </font>
    <font>
      <sz val="10"/>
      <name val="Noto Sans CJK SC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DEDED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E7E6E6"/>
      </patternFill>
    </fill>
    <fill>
      <patternFill patternType="solid">
        <fgColor rgb="FFFFC7CE"/>
        <bgColor rgb="FFF8CBAD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C6E0B4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FC7CE"/>
      </patternFill>
    </fill>
    <fill>
      <patternFill patternType="solid">
        <fgColor rgb="FFF4B084"/>
        <bgColor rgb="FFFF9999"/>
      </patternFill>
    </fill>
    <fill>
      <patternFill patternType="solid">
        <fgColor rgb="FFFFD966"/>
        <bgColor rgb="FFFFEB9C"/>
      </patternFill>
    </fill>
    <fill>
      <patternFill patternType="solid">
        <fgColor rgb="FFC6E0B4"/>
        <bgColor rgb="FFC6EFCE"/>
      </patternFill>
    </fill>
    <fill>
      <patternFill patternType="solid">
        <fgColor rgb="FFBDD7EE"/>
        <bgColor rgb="FFC6E0B4"/>
      </patternFill>
    </fill>
    <fill>
      <patternFill patternType="solid">
        <fgColor rgb="FFFF9999"/>
        <bgColor rgb="FFF4B084"/>
      </patternFill>
    </fill>
    <fill>
      <patternFill patternType="solid">
        <fgColor rgb="FFE7E6E6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7E6E6"/>
      <rgbColor rgb="FF993366"/>
      <rgbColor rgb="FFFFF2CC"/>
      <rgbColor rgb="FFDDEBF7"/>
      <rgbColor rgb="FF660066"/>
      <rgbColor rgb="FFF4B084"/>
      <rgbColor rgb="FF0066CC"/>
      <rgbColor rgb="FFBDD7EE"/>
      <rgbColor rgb="FF000080"/>
      <rgbColor rgb="FFFF00FF"/>
      <rgbColor rgb="FFEDEDED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C6E0B4"/>
      <rgbColor rgb="FFFF9999"/>
      <rgbColor rgb="FFFFC7CE"/>
      <rgbColor rgb="FFF8CBAD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7" min="6" style="0" width="30"/>
    <col collapsed="false" customWidth="true" hidden="false" outlineLevel="0" max="8" min="8" style="0" width="28"/>
    <col collapsed="false" customWidth="true" hidden="false" outlineLevel="0" max="9" min="9" style="0" width="8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9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</row>
    <row r="2" customFormat="false" ht="15" hidden="false" customHeight="false" outlineLevel="0" collapsed="false">
      <c r="A2" s="3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44" hidden="false" customHeight="false" outlineLevel="0" collapsed="false">
      <c r="A3" s="4" t="s">
        <v>0</v>
      </c>
      <c r="B3" s="5" t="s">
        <v>13</v>
      </c>
      <c r="C3" s="6" t="s">
        <v>14</v>
      </c>
      <c r="D3" s="7" t="s">
        <v>15</v>
      </c>
      <c r="E3" s="5" t="s">
        <v>16</v>
      </c>
      <c r="F3" s="6" t="s">
        <v>17</v>
      </c>
      <c r="G3" s="5" t="s">
        <v>18</v>
      </c>
      <c r="H3" s="6" t="s">
        <v>19</v>
      </c>
      <c r="I3" s="6" t="s">
        <v>20</v>
      </c>
      <c r="J3" s="8" t="s">
        <v>21</v>
      </c>
      <c r="K3" s="4"/>
      <c r="L3" s="5" t="s">
        <v>22</v>
      </c>
    </row>
    <row r="4" customFormat="false" ht="29.85" hidden="false" customHeight="false" outlineLevel="0" collapsed="false">
      <c r="A4" s="4" t="s">
        <v>0</v>
      </c>
      <c r="B4" s="5" t="s">
        <v>13</v>
      </c>
      <c r="C4" s="6" t="s">
        <v>14</v>
      </c>
      <c r="D4" s="7" t="s">
        <v>15</v>
      </c>
      <c r="E4" s="5" t="s">
        <v>23</v>
      </c>
      <c r="F4" s="6" t="s">
        <v>24</v>
      </c>
      <c r="G4" s="5" t="s">
        <v>25</v>
      </c>
      <c r="H4" s="6" t="s">
        <v>26</v>
      </c>
      <c r="I4" s="6" t="s">
        <v>27</v>
      </c>
      <c r="J4" s="8" t="s">
        <v>21</v>
      </c>
      <c r="K4" s="4"/>
      <c r="L4" s="5" t="s">
        <v>28</v>
      </c>
    </row>
    <row r="5" customFormat="false" ht="58.2" hidden="false" customHeight="false" outlineLevel="0" collapsed="false">
      <c r="A5" s="4" t="s">
        <v>0</v>
      </c>
      <c r="B5" s="5" t="s">
        <v>13</v>
      </c>
      <c r="C5" s="6" t="s">
        <v>14</v>
      </c>
      <c r="D5" s="9" t="s">
        <v>29</v>
      </c>
      <c r="E5" s="5" t="s">
        <v>30</v>
      </c>
      <c r="F5" s="6" t="s">
        <v>31</v>
      </c>
      <c r="G5" s="5" t="s">
        <v>32</v>
      </c>
      <c r="H5" s="6" t="s">
        <v>33</v>
      </c>
      <c r="I5" s="5" t="s">
        <v>34</v>
      </c>
      <c r="J5" s="8" t="s">
        <v>21</v>
      </c>
      <c r="K5" s="4"/>
      <c r="L5" s="5" t="s">
        <v>35</v>
      </c>
    </row>
    <row r="6" customFormat="false" ht="35.05" hidden="false" customHeight="false" outlineLevel="0" collapsed="false">
      <c r="A6" s="4" t="s">
        <v>0</v>
      </c>
      <c r="B6" s="5" t="s">
        <v>13</v>
      </c>
      <c r="C6" s="6" t="s">
        <v>14</v>
      </c>
      <c r="D6" s="9" t="s">
        <v>29</v>
      </c>
      <c r="E6" s="5" t="s">
        <v>36</v>
      </c>
      <c r="F6" s="5" t="s">
        <v>37</v>
      </c>
      <c r="G6" s="5" t="s">
        <v>38</v>
      </c>
      <c r="H6" s="6" t="s">
        <v>39</v>
      </c>
      <c r="I6" s="6" t="s">
        <v>40</v>
      </c>
      <c r="J6" s="8" t="s">
        <v>21</v>
      </c>
      <c r="K6" s="4"/>
      <c r="L6" s="5" t="s">
        <v>41</v>
      </c>
    </row>
    <row r="7" customFormat="false" ht="15" hidden="false" customHeight="false" outlineLevel="0" collapsed="false">
      <c r="A7" s="3" t="s">
        <v>42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57.45" hidden="false" customHeight="false" outlineLevel="0" collapsed="false">
      <c r="A8" s="4" t="s">
        <v>0</v>
      </c>
      <c r="B8" s="5" t="s">
        <v>43</v>
      </c>
      <c r="C8" s="6" t="s">
        <v>44</v>
      </c>
      <c r="D8" s="7" t="s">
        <v>15</v>
      </c>
      <c r="E8" s="5" t="s">
        <v>45</v>
      </c>
      <c r="F8" s="6" t="s">
        <v>46</v>
      </c>
      <c r="G8" s="5" t="s">
        <v>47</v>
      </c>
      <c r="H8" s="6" t="s">
        <v>48</v>
      </c>
      <c r="I8" s="5" t="s">
        <v>49</v>
      </c>
      <c r="J8" s="8" t="s">
        <v>21</v>
      </c>
      <c r="K8" s="4"/>
      <c r="L8" s="5" t="s">
        <v>50</v>
      </c>
    </row>
    <row r="9" customFormat="false" ht="44" hidden="false" customHeight="false" outlineLevel="0" collapsed="false">
      <c r="A9" s="4" t="s">
        <v>0</v>
      </c>
      <c r="B9" s="5" t="s">
        <v>43</v>
      </c>
      <c r="C9" s="6" t="s">
        <v>44</v>
      </c>
      <c r="D9" s="7" t="s">
        <v>15</v>
      </c>
      <c r="E9" s="5" t="s">
        <v>51</v>
      </c>
      <c r="F9" s="6" t="s">
        <v>52</v>
      </c>
      <c r="G9" s="5" t="s">
        <v>53</v>
      </c>
      <c r="H9" s="6" t="s">
        <v>54</v>
      </c>
      <c r="I9" s="5" t="s">
        <v>55</v>
      </c>
      <c r="J9" s="10" t="s">
        <v>56</v>
      </c>
      <c r="K9" s="4"/>
      <c r="L9" s="5" t="s">
        <v>57</v>
      </c>
    </row>
    <row r="10" customFormat="false" ht="29.85" hidden="false" customHeight="false" outlineLevel="0" collapsed="false">
      <c r="A10" s="4" t="s">
        <v>0</v>
      </c>
      <c r="B10" s="5" t="s">
        <v>43</v>
      </c>
      <c r="C10" s="6" t="s">
        <v>44</v>
      </c>
      <c r="D10" s="7" t="s">
        <v>15</v>
      </c>
      <c r="E10" s="5" t="s">
        <v>58</v>
      </c>
      <c r="F10" s="6" t="s">
        <v>59</v>
      </c>
      <c r="G10" s="5" t="s">
        <v>60</v>
      </c>
      <c r="H10" s="6" t="s">
        <v>61</v>
      </c>
      <c r="I10" s="5" t="s">
        <v>62</v>
      </c>
      <c r="J10" s="10" t="s">
        <v>56</v>
      </c>
      <c r="K10" s="4"/>
      <c r="L10" s="5" t="s">
        <v>63</v>
      </c>
    </row>
    <row r="11" customFormat="false" ht="44" hidden="false" customHeight="false" outlineLevel="0" collapsed="false">
      <c r="A11" s="4" t="s">
        <v>0</v>
      </c>
      <c r="B11" s="5" t="s">
        <v>43</v>
      </c>
      <c r="C11" s="6" t="s">
        <v>44</v>
      </c>
      <c r="D11" s="9" t="s">
        <v>29</v>
      </c>
      <c r="E11" s="5" t="s">
        <v>64</v>
      </c>
      <c r="F11" s="5" t="s">
        <v>65</v>
      </c>
      <c r="G11" s="5" t="s">
        <v>66</v>
      </c>
      <c r="H11" s="6" t="s">
        <v>67</v>
      </c>
      <c r="I11" s="5" t="s">
        <v>68</v>
      </c>
      <c r="J11" s="10" t="s">
        <v>56</v>
      </c>
      <c r="K11" s="4"/>
      <c r="L11" s="5" t="s">
        <v>69</v>
      </c>
    </row>
    <row r="12" customFormat="false" ht="44" hidden="false" customHeight="false" outlineLevel="0" collapsed="false">
      <c r="A12" s="4" t="s">
        <v>0</v>
      </c>
      <c r="B12" s="5" t="s">
        <v>43</v>
      </c>
      <c r="C12" s="6" t="s">
        <v>44</v>
      </c>
      <c r="D12" s="9" t="s">
        <v>29</v>
      </c>
      <c r="E12" s="5" t="s">
        <v>70</v>
      </c>
      <c r="F12" s="6" t="s">
        <v>71</v>
      </c>
      <c r="G12" s="5" t="s">
        <v>72</v>
      </c>
      <c r="H12" s="6" t="s">
        <v>73</v>
      </c>
      <c r="I12" s="5" t="s">
        <v>74</v>
      </c>
      <c r="J12" s="10" t="s">
        <v>56</v>
      </c>
      <c r="K12" s="4"/>
      <c r="L12" s="5" t="s">
        <v>75</v>
      </c>
    </row>
    <row r="13" customFormat="false" ht="44" hidden="false" customHeight="false" outlineLevel="0" collapsed="false">
      <c r="A13" s="4" t="s">
        <v>0</v>
      </c>
      <c r="B13" s="5" t="s">
        <v>43</v>
      </c>
      <c r="C13" s="6" t="s">
        <v>44</v>
      </c>
      <c r="D13" s="9" t="s">
        <v>29</v>
      </c>
      <c r="E13" s="5" t="s">
        <v>76</v>
      </c>
      <c r="F13" s="6" t="s">
        <v>77</v>
      </c>
      <c r="G13" s="5" t="s">
        <v>78</v>
      </c>
      <c r="H13" s="6" t="s">
        <v>79</v>
      </c>
      <c r="I13" s="5" t="s">
        <v>80</v>
      </c>
      <c r="J13" s="10" t="s">
        <v>56</v>
      </c>
      <c r="K13" s="4"/>
      <c r="L13" s="5" t="s">
        <v>81</v>
      </c>
    </row>
    <row r="14" customFormat="false" ht="35.05" hidden="false" customHeight="false" outlineLevel="0" collapsed="false">
      <c r="A14" s="4" t="s">
        <v>0</v>
      </c>
      <c r="B14" s="5" t="s">
        <v>43</v>
      </c>
      <c r="C14" s="6" t="s">
        <v>44</v>
      </c>
      <c r="D14" s="9" t="s">
        <v>29</v>
      </c>
      <c r="E14" s="5" t="s">
        <v>82</v>
      </c>
      <c r="F14" s="6" t="s">
        <v>83</v>
      </c>
      <c r="G14" s="5" t="s">
        <v>84</v>
      </c>
      <c r="H14" s="6" t="s">
        <v>85</v>
      </c>
      <c r="I14" s="5" t="s">
        <v>86</v>
      </c>
      <c r="J14" s="10" t="s">
        <v>56</v>
      </c>
      <c r="K14" s="4"/>
      <c r="L14" s="5" t="s">
        <v>87</v>
      </c>
    </row>
    <row r="15" customFormat="false" ht="44" hidden="false" customHeight="false" outlineLevel="0" collapsed="false">
      <c r="A15" s="4" t="s">
        <v>0</v>
      </c>
      <c r="B15" s="5" t="s">
        <v>43</v>
      </c>
      <c r="C15" s="6" t="s">
        <v>44</v>
      </c>
      <c r="D15" s="9" t="s">
        <v>29</v>
      </c>
      <c r="E15" s="5" t="s">
        <v>88</v>
      </c>
      <c r="F15" s="6" t="s">
        <v>89</v>
      </c>
      <c r="G15" s="5" t="s">
        <v>90</v>
      </c>
      <c r="H15" s="6" t="s">
        <v>91</v>
      </c>
      <c r="I15" s="5" t="s">
        <v>92</v>
      </c>
      <c r="J15" s="10" t="s">
        <v>56</v>
      </c>
      <c r="K15" s="4"/>
      <c r="L15" s="5" t="s">
        <v>93</v>
      </c>
    </row>
    <row r="16" customFormat="false" ht="44" hidden="false" customHeight="false" outlineLevel="0" collapsed="false">
      <c r="A16" s="4" t="s">
        <v>0</v>
      </c>
      <c r="B16" s="5" t="s">
        <v>43</v>
      </c>
      <c r="C16" s="6" t="s">
        <v>44</v>
      </c>
      <c r="D16" s="9" t="s">
        <v>29</v>
      </c>
      <c r="E16" s="5" t="s">
        <v>94</v>
      </c>
      <c r="F16" s="6" t="s">
        <v>95</v>
      </c>
      <c r="G16" s="5" t="s">
        <v>96</v>
      </c>
      <c r="H16" s="6" t="s">
        <v>97</v>
      </c>
      <c r="I16" s="5" t="s">
        <v>98</v>
      </c>
      <c r="J16" s="10" t="s">
        <v>56</v>
      </c>
      <c r="K16" s="4"/>
      <c r="L16" s="5" t="s">
        <v>99</v>
      </c>
    </row>
    <row r="17" customFormat="false" ht="44" hidden="false" customHeight="false" outlineLevel="0" collapsed="false">
      <c r="A17" s="4" t="s">
        <v>0</v>
      </c>
      <c r="B17" s="5" t="s">
        <v>43</v>
      </c>
      <c r="C17" s="6" t="s">
        <v>44</v>
      </c>
      <c r="D17" s="9" t="s">
        <v>29</v>
      </c>
      <c r="E17" s="5" t="s">
        <v>100</v>
      </c>
      <c r="F17" s="6" t="s">
        <v>101</v>
      </c>
      <c r="G17" s="5" t="s">
        <v>102</v>
      </c>
      <c r="H17" s="6" t="s">
        <v>103</v>
      </c>
      <c r="I17" s="5" t="s">
        <v>104</v>
      </c>
      <c r="J17" s="10" t="s">
        <v>56</v>
      </c>
      <c r="K17" s="4"/>
      <c r="L17" s="5" t="s">
        <v>105</v>
      </c>
    </row>
    <row r="18" customFormat="false" ht="29.85" hidden="false" customHeight="false" outlineLevel="0" collapsed="false">
      <c r="A18" s="4" t="s">
        <v>0</v>
      </c>
      <c r="B18" s="5" t="s">
        <v>43</v>
      </c>
      <c r="C18" s="6" t="s">
        <v>44</v>
      </c>
      <c r="D18" s="9" t="s">
        <v>29</v>
      </c>
      <c r="E18" s="5" t="s">
        <v>106</v>
      </c>
      <c r="F18" s="6" t="s">
        <v>107</v>
      </c>
      <c r="G18" s="5" t="s">
        <v>108</v>
      </c>
      <c r="H18" s="6" t="s">
        <v>109</v>
      </c>
      <c r="I18" s="5" t="s">
        <v>110</v>
      </c>
      <c r="J18" s="10" t="s">
        <v>56</v>
      </c>
      <c r="K18" s="4"/>
      <c r="L18" s="5" t="s">
        <v>111</v>
      </c>
    </row>
    <row r="19" customFormat="false" ht="44" hidden="false" customHeight="false" outlineLevel="0" collapsed="false">
      <c r="A19" s="4" t="s">
        <v>0</v>
      </c>
      <c r="B19" s="5" t="s">
        <v>43</v>
      </c>
      <c r="C19" s="6" t="s">
        <v>44</v>
      </c>
      <c r="D19" s="9" t="s">
        <v>29</v>
      </c>
      <c r="E19" s="5" t="s">
        <v>112</v>
      </c>
      <c r="F19" s="6" t="s">
        <v>113</v>
      </c>
      <c r="G19" s="5" t="s">
        <v>114</v>
      </c>
      <c r="H19" s="6" t="s">
        <v>79</v>
      </c>
      <c r="I19" s="5" t="s">
        <v>115</v>
      </c>
      <c r="J19" s="10" t="s">
        <v>56</v>
      </c>
      <c r="K19" s="4"/>
      <c r="L19" s="5" t="s">
        <v>116</v>
      </c>
    </row>
    <row r="20" customFormat="false" ht="44" hidden="false" customHeight="false" outlineLevel="0" collapsed="false">
      <c r="A20" s="4" t="s">
        <v>0</v>
      </c>
      <c r="B20" s="5" t="s">
        <v>43</v>
      </c>
      <c r="C20" s="6" t="s">
        <v>44</v>
      </c>
      <c r="D20" s="9" t="s">
        <v>29</v>
      </c>
      <c r="E20" s="5" t="s">
        <v>117</v>
      </c>
      <c r="F20" s="6" t="s">
        <v>118</v>
      </c>
      <c r="G20" s="5" t="s">
        <v>119</v>
      </c>
      <c r="H20" s="6" t="s">
        <v>120</v>
      </c>
      <c r="I20" s="5" t="s">
        <v>121</v>
      </c>
      <c r="J20" s="10" t="s">
        <v>56</v>
      </c>
      <c r="K20" s="4"/>
      <c r="L20" s="5" t="s">
        <v>122</v>
      </c>
    </row>
    <row r="21" customFormat="false" ht="29.85" hidden="false" customHeight="false" outlineLevel="0" collapsed="false">
      <c r="A21" s="4" t="s">
        <v>0</v>
      </c>
      <c r="B21" s="5" t="s">
        <v>43</v>
      </c>
      <c r="C21" s="6" t="s">
        <v>44</v>
      </c>
      <c r="D21" s="9" t="s">
        <v>29</v>
      </c>
      <c r="E21" s="5" t="s">
        <v>123</v>
      </c>
      <c r="F21" s="6" t="s">
        <v>124</v>
      </c>
      <c r="G21" s="5" t="s">
        <v>125</v>
      </c>
      <c r="H21" s="6" t="s">
        <v>126</v>
      </c>
      <c r="I21" s="5" t="s">
        <v>127</v>
      </c>
      <c r="J21" s="10" t="s">
        <v>56</v>
      </c>
      <c r="K21" s="4"/>
      <c r="L21" s="5" t="s">
        <v>128</v>
      </c>
    </row>
    <row r="22" customFormat="false" ht="15" hidden="false" customHeight="false" outlineLevel="0" collapsed="false">
      <c r="A22" s="11" t="s">
        <v>129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44" hidden="false" customHeight="false" outlineLevel="0" collapsed="false">
      <c r="A23" s="4" t="s">
        <v>0</v>
      </c>
      <c r="B23" s="5" t="s">
        <v>130</v>
      </c>
      <c r="C23" s="6" t="s">
        <v>131</v>
      </c>
      <c r="D23" s="7" t="s">
        <v>15</v>
      </c>
      <c r="E23" s="5" t="s">
        <v>132</v>
      </c>
      <c r="F23" s="6" t="s">
        <v>133</v>
      </c>
      <c r="G23" s="5" t="s">
        <v>134</v>
      </c>
      <c r="H23" s="6" t="s">
        <v>135</v>
      </c>
      <c r="I23" s="6" t="s">
        <v>136</v>
      </c>
      <c r="J23" s="8" t="s">
        <v>21</v>
      </c>
      <c r="K23" s="4"/>
      <c r="L23" s="5" t="s">
        <v>137</v>
      </c>
    </row>
    <row r="24" customFormat="false" ht="29.85" hidden="false" customHeight="false" outlineLevel="0" collapsed="false">
      <c r="A24" s="4" t="s">
        <v>0</v>
      </c>
      <c r="B24" s="5" t="s">
        <v>130</v>
      </c>
      <c r="C24" s="6" t="s">
        <v>131</v>
      </c>
      <c r="D24" s="7" t="s">
        <v>15</v>
      </c>
      <c r="E24" s="5" t="s">
        <v>138</v>
      </c>
      <c r="F24" s="6" t="s">
        <v>139</v>
      </c>
      <c r="G24" s="5" t="s">
        <v>140</v>
      </c>
      <c r="H24" s="6" t="s">
        <v>141</v>
      </c>
      <c r="I24" s="6" t="s">
        <v>142</v>
      </c>
      <c r="J24" s="8" t="s">
        <v>21</v>
      </c>
      <c r="K24" s="4"/>
      <c r="L24" s="5" t="s">
        <v>137</v>
      </c>
    </row>
    <row r="25" customFormat="false" ht="52.2" hidden="false" customHeight="false" outlineLevel="0" collapsed="false">
      <c r="A25" s="4" t="s">
        <v>0</v>
      </c>
      <c r="B25" s="5" t="s">
        <v>130</v>
      </c>
      <c r="C25" s="6" t="s">
        <v>131</v>
      </c>
      <c r="D25" s="7" t="s">
        <v>15</v>
      </c>
      <c r="E25" s="5" t="s">
        <v>143</v>
      </c>
      <c r="F25" s="6" t="s">
        <v>144</v>
      </c>
      <c r="G25" s="5" t="s">
        <v>145</v>
      </c>
      <c r="H25" s="6" t="s">
        <v>146</v>
      </c>
      <c r="I25" s="5" t="s">
        <v>147</v>
      </c>
      <c r="J25" s="8" t="s">
        <v>21</v>
      </c>
      <c r="K25" s="4"/>
      <c r="L25" s="5" t="s">
        <v>148</v>
      </c>
    </row>
    <row r="26" customFormat="false" ht="55.2" hidden="false" customHeight="false" outlineLevel="0" collapsed="false">
      <c r="A26" s="4" t="s">
        <v>0</v>
      </c>
      <c r="B26" s="5" t="s">
        <v>130</v>
      </c>
      <c r="C26" s="6" t="s">
        <v>131</v>
      </c>
      <c r="D26" s="7" t="s">
        <v>15</v>
      </c>
      <c r="E26" s="5" t="s">
        <v>149</v>
      </c>
      <c r="F26" s="6" t="s">
        <v>150</v>
      </c>
      <c r="G26" s="5" t="s">
        <v>151</v>
      </c>
      <c r="H26" s="6" t="s">
        <v>152</v>
      </c>
      <c r="I26" s="5" t="s">
        <v>153</v>
      </c>
      <c r="J26" s="8" t="s">
        <v>21</v>
      </c>
      <c r="K26" s="4"/>
      <c r="L26" s="5" t="s">
        <v>154</v>
      </c>
    </row>
    <row r="27" customFormat="false" ht="29.85" hidden="false" customHeight="false" outlineLevel="0" collapsed="false">
      <c r="A27" s="4" t="s">
        <v>0</v>
      </c>
      <c r="B27" s="5" t="s">
        <v>130</v>
      </c>
      <c r="C27" s="6" t="s">
        <v>131</v>
      </c>
      <c r="D27" s="7" t="s">
        <v>15</v>
      </c>
      <c r="E27" s="5" t="s">
        <v>155</v>
      </c>
      <c r="F27" s="6" t="s">
        <v>156</v>
      </c>
      <c r="G27" s="5" t="s">
        <v>157</v>
      </c>
      <c r="H27" s="6" t="s">
        <v>158</v>
      </c>
      <c r="I27" s="5" t="s">
        <v>159</v>
      </c>
      <c r="J27" s="12" t="s">
        <v>160</v>
      </c>
      <c r="K27" s="4"/>
      <c r="L27" s="5" t="s">
        <v>161</v>
      </c>
    </row>
    <row r="28" customFormat="false" ht="23.85" hidden="false" customHeight="false" outlineLevel="0" collapsed="false">
      <c r="A28" s="4" t="s">
        <v>0</v>
      </c>
      <c r="B28" s="5" t="s">
        <v>130</v>
      </c>
      <c r="C28" s="6" t="s">
        <v>131</v>
      </c>
      <c r="D28" s="7" t="s">
        <v>15</v>
      </c>
      <c r="E28" s="5" t="s">
        <v>162</v>
      </c>
      <c r="F28" s="6" t="s">
        <v>163</v>
      </c>
      <c r="G28" s="5" t="s">
        <v>164</v>
      </c>
      <c r="H28" s="6" t="s">
        <v>165</v>
      </c>
      <c r="I28" s="6" t="s">
        <v>166</v>
      </c>
      <c r="J28" s="8" t="s">
        <v>21</v>
      </c>
      <c r="K28" s="4"/>
      <c r="L28" s="5" t="s">
        <v>161</v>
      </c>
    </row>
    <row r="29" customFormat="false" ht="44" hidden="false" customHeight="false" outlineLevel="0" collapsed="false">
      <c r="A29" s="4" t="s">
        <v>0</v>
      </c>
      <c r="B29" s="5" t="s">
        <v>130</v>
      </c>
      <c r="C29" s="6" t="s">
        <v>131</v>
      </c>
      <c r="D29" s="7" t="s">
        <v>15</v>
      </c>
      <c r="E29" s="5" t="s">
        <v>167</v>
      </c>
      <c r="F29" s="6" t="s">
        <v>168</v>
      </c>
      <c r="G29" s="5" t="s">
        <v>169</v>
      </c>
      <c r="H29" s="6" t="s">
        <v>170</v>
      </c>
      <c r="I29" s="5" t="s">
        <v>171</v>
      </c>
      <c r="J29" s="8" t="s">
        <v>21</v>
      </c>
      <c r="K29" s="4"/>
      <c r="L29" s="5" t="s">
        <v>172</v>
      </c>
    </row>
    <row r="30" customFormat="false" ht="44" hidden="false" customHeight="false" outlineLevel="0" collapsed="false">
      <c r="A30" s="4" t="s">
        <v>0</v>
      </c>
      <c r="B30" s="5" t="s">
        <v>130</v>
      </c>
      <c r="C30" s="6" t="s">
        <v>131</v>
      </c>
      <c r="D30" s="7" t="s">
        <v>15</v>
      </c>
      <c r="E30" s="5" t="s">
        <v>173</v>
      </c>
      <c r="F30" s="6" t="s">
        <v>174</v>
      </c>
      <c r="G30" s="5" t="s">
        <v>175</v>
      </c>
      <c r="H30" s="6" t="s">
        <v>176</v>
      </c>
      <c r="I30" s="5" t="s">
        <v>177</v>
      </c>
      <c r="J30" s="12" t="s">
        <v>160</v>
      </c>
      <c r="K30" s="4"/>
      <c r="L30" s="5" t="s">
        <v>178</v>
      </c>
    </row>
    <row r="31" customFormat="false" ht="29.85" hidden="false" customHeight="false" outlineLevel="0" collapsed="false">
      <c r="A31" s="4" t="s">
        <v>0</v>
      </c>
      <c r="B31" s="5" t="s">
        <v>130</v>
      </c>
      <c r="C31" s="6" t="s">
        <v>131</v>
      </c>
      <c r="D31" s="7" t="s">
        <v>15</v>
      </c>
      <c r="E31" s="5" t="s">
        <v>179</v>
      </c>
      <c r="F31" s="6" t="s">
        <v>180</v>
      </c>
      <c r="G31" s="5" t="s">
        <v>181</v>
      </c>
      <c r="H31" s="6" t="s">
        <v>182</v>
      </c>
      <c r="I31" s="5" t="s">
        <v>183</v>
      </c>
      <c r="J31" s="8" t="s">
        <v>21</v>
      </c>
      <c r="K31" s="4"/>
      <c r="L31" s="5" t="s">
        <v>184</v>
      </c>
    </row>
    <row r="32" customFormat="false" ht="44" hidden="false" customHeight="false" outlineLevel="0" collapsed="false">
      <c r="A32" s="4" t="s">
        <v>0</v>
      </c>
      <c r="B32" s="5" t="s">
        <v>130</v>
      </c>
      <c r="C32" s="6" t="s">
        <v>131</v>
      </c>
      <c r="D32" s="7" t="s">
        <v>15</v>
      </c>
      <c r="E32" s="5" t="s">
        <v>185</v>
      </c>
      <c r="F32" s="6" t="s">
        <v>186</v>
      </c>
      <c r="G32" s="5" t="s">
        <v>187</v>
      </c>
      <c r="H32" s="6" t="s">
        <v>188</v>
      </c>
      <c r="I32" s="5" t="s">
        <v>189</v>
      </c>
      <c r="J32" s="8" t="s">
        <v>21</v>
      </c>
      <c r="K32" s="4"/>
      <c r="L32" s="5" t="s">
        <v>57</v>
      </c>
    </row>
    <row r="33" customFormat="false" ht="44" hidden="false" customHeight="false" outlineLevel="0" collapsed="false">
      <c r="A33" s="4" t="s">
        <v>0</v>
      </c>
      <c r="B33" s="5" t="s">
        <v>130</v>
      </c>
      <c r="C33" s="6" t="s">
        <v>131</v>
      </c>
      <c r="D33" s="9" t="s">
        <v>29</v>
      </c>
      <c r="E33" s="5" t="s">
        <v>190</v>
      </c>
      <c r="F33" s="6" t="s">
        <v>191</v>
      </c>
      <c r="G33" s="5" t="s">
        <v>192</v>
      </c>
      <c r="H33" s="6" t="s">
        <v>193</v>
      </c>
      <c r="I33" s="5" t="s">
        <v>194</v>
      </c>
      <c r="J33" s="8" t="s">
        <v>21</v>
      </c>
      <c r="K33" s="4"/>
      <c r="L33" s="5" t="s">
        <v>195</v>
      </c>
    </row>
    <row r="34" customFormat="false" ht="15" hidden="false" customHeight="false" outlineLevel="0" collapsed="false">
      <c r="A34" s="11" t="s">
        <v>196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customFormat="false" ht="29.85" hidden="false" customHeight="false" outlineLevel="0" collapsed="false">
      <c r="A35" s="4" t="s">
        <v>0</v>
      </c>
      <c r="B35" s="5" t="s">
        <v>197</v>
      </c>
      <c r="C35" s="6" t="s">
        <v>198</v>
      </c>
      <c r="D35" s="7" t="s">
        <v>15</v>
      </c>
      <c r="E35" s="5" t="s">
        <v>199</v>
      </c>
      <c r="F35" s="6" t="s">
        <v>200</v>
      </c>
      <c r="G35" s="5" t="s">
        <v>201</v>
      </c>
      <c r="H35" s="5" t="s">
        <v>202</v>
      </c>
      <c r="I35" s="6" t="s">
        <v>203</v>
      </c>
      <c r="J35" s="10" t="s">
        <v>56</v>
      </c>
      <c r="K35" s="4"/>
      <c r="L35" s="5" t="s">
        <v>204</v>
      </c>
    </row>
    <row r="36" customFormat="false" ht="41" hidden="false" customHeight="false" outlineLevel="0" collapsed="false">
      <c r="A36" s="4" t="s">
        <v>0</v>
      </c>
      <c r="B36" s="5" t="s">
        <v>197</v>
      </c>
      <c r="C36" s="6" t="s">
        <v>198</v>
      </c>
      <c r="D36" s="7" t="s">
        <v>15</v>
      </c>
      <c r="E36" s="5" t="s">
        <v>205</v>
      </c>
      <c r="F36" s="6" t="s">
        <v>206</v>
      </c>
      <c r="G36" s="5" t="s">
        <v>207</v>
      </c>
      <c r="H36" s="5" t="s">
        <v>208</v>
      </c>
      <c r="I36" s="5" t="s">
        <v>209</v>
      </c>
      <c r="J36" s="12" t="s">
        <v>160</v>
      </c>
      <c r="K36" s="4"/>
      <c r="L36" s="5" t="s">
        <v>210</v>
      </c>
    </row>
    <row r="37" customFormat="false" ht="41" hidden="false" customHeight="false" outlineLevel="0" collapsed="false">
      <c r="A37" s="4" t="s">
        <v>0</v>
      </c>
      <c r="B37" s="5" t="s">
        <v>197</v>
      </c>
      <c r="C37" s="6" t="s">
        <v>198</v>
      </c>
      <c r="D37" s="7" t="s">
        <v>15</v>
      </c>
      <c r="E37" s="5" t="s">
        <v>211</v>
      </c>
      <c r="F37" s="6" t="s">
        <v>212</v>
      </c>
      <c r="G37" s="5" t="s">
        <v>213</v>
      </c>
      <c r="H37" s="6" t="s">
        <v>214</v>
      </c>
      <c r="I37" s="5" t="s">
        <v>215</v>
      </c>
      <c r="J37" s="8" t="s">
        <v>21</v>
      </c>
      <c r="K37" s="4"/>
      <c r="L37" s="5" t="s">
        <v>216</v>
      </c>
    </row>
    <row r="38" customFormat="false" ht="44" hidden="false" customHeight="false" outlineLevel="0" collapsed="false">
      <c r="A38" s="4" t="s">
        <v>0</v>
      </c>
      <c r="B38" s="5" t="s">
        <v>197</v>
      </c>
      <c r="C38" s="6" t="s">
        <v>198</v>
      </c>
      <c r="D38" s="7" t="s">
        <v>15</v>
      </c>
      <c r="E38" s="5" t="s">
        <v>217</v>
      </c>
      <c r="F38" s="6" t="s">
        <v>218</v>
      </c>
      <c r="G38" s="5" t="s">
        <v>219</v>
      </c>
      <c r="H38" s="6" t="s">
        <v>220</v>
      </c>
      <c r="I38" s="5" t="s">
        <v>221</v>
      </c>
      <c r="J38" s="10" t="s">
        <v>56</v>
      </c>
      <c r="K38" s="4"/>
      <c r="L38" s="5" t="s">
        <v>57</v>
      </c>
    </row>
    <row r="39" customFormat="false" ht="15" hidden="false" customHeight="false" outlineLevel="0" collapsed="false">
      <c r="A39" s="13" t="s">
        <v>222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customFormat="false" ht="44" hidden="false" customHeight="false" outlineLevel="0" collapsed="false">
      <c r="A40" s="4" t="s">
        <v>0</v>
      </c>
      <c r="B40" s="5" t="s">
        <v>223</v>
      </c>
      <c r="C40" s="5" t="s">
        <v>224</v>
      </c>
      <c r="D40" s="9" t="s">
        <v>29</v>
      </c>
      <c r="E40" s="5" t="s">
        <v>225</v>
      </c>
      <c r="F40" s="5" t="s">
        <v>226</v>
      </c>
      <c r="G40" s="5" t="s">
        <v>227</v>
      </c>
      <c r="H40" s="6" t="s">
        <v>228</v>
      </c>
      <c r="I40" s="5" t="s">
        <v>229</v>
      </c>
      <c r="J40" s="12" t="s">
        <v>160</v>
      </c>
      <c r="K40" s="4"/>
      <c r="L40" s="5" t="s">
        <v>230</v>
      </c>
    </row>
    <row r="41" customFormat="false" ht="44" hidden="false" customHeight="false" outlineLevel="0" collapsed="false">
      <c r="A41" s="4" t="s">
        <v>0</v>
      </c>
      <c r="B41" s="5" t="s">
        <v>223</v>
      </c>
      <c r="C41" s="5" t="s">
        <v>224</v>
      </c>
      <c r="D41" s="9" t="s">
        <v>29</v>
      </c>
      <c r="E41" s="5" t="s">
        <v>231</v>
      </c>
      <c r="F41" s="6" t="s">
        <v>232</v>
      </c>
      <c r="G41" s="5" t="s">
        <v>233</v>
      </c>
      <c r="H41" s="5" t="s">
        <v>234</v>
      </c>
      <c r="I41" s="5" t="s">
        <v>235</v>
      </c>
      <c r="J41" s="10" t="s">
        <v>56</v>
      </c>
      <c r="K41" s="4"/>
      <c r="L41" s="5" t="s">
        <v>236</v>
      </c>
    </row>
    <row r="42" customFormat="false" ht="58.2" hidden="false" customHeight="false" outlineLevel="0" collapsed="false">
      <c r="A42" s="4" t="s">
        <v>0</v>
      </c>
      <c r="B42" s="5" t="s">
        <v>223</v>
      </c>
      <c r="C42" s="5" t="s">
        <v>224</v>
      </c>
      <c r="D42" s="9" t="s">
        <v>29</v>
      </c>
      <c r="E42" s="5" t="s">
        <v>237</v>
      </c>
      <c r="F42" s="6" t="s">
        <v>238</v>
      </c>
      <c r="G42" s="5" t="s">
        <v>239</v>
      </c>
      <c r="H42" s="6" t="s">
        <v>240</v>
      </c>
      <c r="I42" s="5" t="s">
        <v>241</v>
      </c>
      <c r="J42" s="8" t="s">
        <v>21</v>
      </c>
      <c r="K42" s="4"/>
      <c r="L42" s="5" t="s">
        <v>242</v>
      </c>
    </row>
    <row r="43" customFormat="false" ht="44" hidden="false" customHeight="false" outlineLevel="0" collapsed="false">
      <c r="A43" s="4" t="s">
        <v>0</v>
      </c>
      <c r="B43" s="5" t="s">
        <v>223</v>
      </c>
      <c r="C43" s="5" t="s">
        <v>224</v>
      </c>
      <c r="D43" s="9" t="s">
        <v>29</v>
      </c>
      <c r="E43" s="5" t="s">
        <v>243</v>
      </c>
      <c r="F43" s="5" t="s">
        <v>244</v>
      </c>
      <c r="G43" s="5" t="s">
        <v>245</v>
      </c>
      <c r="H43" s="5" t="s">
        <v>246</v>
      </c>
      <c r="I43" s="5" t="s">
        <v>247</v>
      </c>
      <c r="J43" s="8" t="s">
        <v>21</v>
      </c>
      <c r="K43" s="4"/>
      <c r="L43" s="5" t="s">
        <v>248</v>
      </c>
    </row>
    <row r="44" customFormat="false" ht="15" hidden="false" customHeight="false" outlineLevel="0" collapsed="false">
      <c r="A44" s="13" t="s">
        <v>249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customFormat="false" ht="86.55" hidden="false" customHeight="false" outlineLevel="0" collapsed="false">
      <c r="A45" s="4" t="s">
        <v>0</v>
      </c>
      <c r="B45" s="5" t="s">
        <v>250</v>
      </c>
      <c r="C45" s="6" t="s">
        <v>251</v>
      </c>
      <c r="D45" s="7" t="s">
        <v>15</v>
      </c>
      <c r="E45" s="5" t="s">
        <v>252</v>
      </c>
      <c r="F45" s="6" t="s">
        <v>253</v>
      </c>
      <c r="G45" s="5" t="s">
        <v>254</v>
      </c>
      <c r="H45" s="6" t="s">
        <v>255</v>
      </c>
      <c r="I45" s="5" t="s">
        <v>256</v>
      </c>
      <c r="J45" s="8" t="s">
        <v>21</v>
      </c>
      <c r="K45" s="4"/>
      <c r="L45" s="5" t="s">
        <v>257</v>
      </c>
    </row>
    <row r="46" customFormat="false" ht="29.85" hidden="false" customHeight="false" outlineLevel="0" collapsed="false">
      <c r="A46" s="4" t="s">
        <v>0</v>
      </c>
      <c r="B46" s="5" t="s">
        <v>250</v>
      </c>
      <c r="C46" s="6" t="s">
        <v>251</v>
      </c>
      <c r="D46" s="7" t="s">
        <v>15</v>
      </c>
      <c r="E46" s="5" t="s">
        <v>258</v>
      </c>
      <c r="F46" s="6" t="s">
        <v>259</v>
      </c>
      <c r="G46" s="5" t="s">
        <v>260</v>
      </c>
      <c r="H46" s="6" t="s">
        <v>261</v>
      </c>
      <c r="I46" s="5" t="s">
        <v>262</v>
      </c>
      <c r="J46" s="8" t="s">
        <v>21</v>
      </c>
      <c r="K46" s="4"/>
      <c r="L46" s="5" t="s">
        <v>57</v>
      </c>
    </row>
    <row r="47" customFormat="false" ht="44" hidden="false" customHeight="false" outlineLevel="0" collapsed="false">
      <c r="A47" s="4" t="s">
        <v>0</v>
      </c>
      <c r="B47" s="5" t="s">
        <v>250</v>
      </c>
      <c r="C47" s="6" t="s">
        <v>251</v>
      </c>
      <c r="D47" s="9" t="s">
        <v>29</v>
      </c>
      <c r="E47" s="5" t="s">
        <v>263</v>
      </c>
      <c r="F47" s="5" t="s">
        <v>264</v>
      </c>
      <c r="G47" s="5" t="s">
        <v>265</v>
      </c>
      <c r="H47" s="5" t="s">
        <v>266</v>
      </c>
      <c r="I47" s="5" t="s">
        <v>267</v>
      </c>
      <c r="J47" s="10" t="s">
        <v>56</v>
      </c>
      <c r="K47" s="4"/>
      <c r="L47" s="5" t="s">
        <v>268</v>
      </c>
    </row>
    <row r="48" customFormat="false" ht="44" hidden="false" customHeight="false" outlineLevel="0" collapsed="false">
      <c r="A48" s="4" t="s">
        <v>0</v>
      </c>
      <c r="B48" s="5" t="s">
        <v>250</v>
      </c>
      <c r="C48" s="6" t="s">
        <v>251</v>
      </c>
      <c r="D48" s="9" t="s">
        <v>29</v>
      </c>
      <c r="E48" s="5" t="s">
        <v>269</v>
      </c>
      <c r="F48" s="5" t="s">
        <v>270</v>
      </c>
      <c r="G48" s="5" t="s">
        <v>271</v>
      </c>
      <c r="H48" s="6" t="s">
        <v>272</v>
      </c>
      <c r="I48" s="5" t="s">
        <v>273</v>
      </c>
      <c r="J48" s="8" t="s">
        <v>21</v>
      </c>
      <c r="K48" s="4"/>
      <c r="L48" s="5" t="s">
        <v>274</v>
      </c>
    </row>
    <row r="49" customFormat="false" ht="44" hidden="false" customHeight="false" outlineLevel="0" collapsed="false">
      <c r="A49" s="4" t="s">
        <v>0</v>
      </c>
      <c r="B49" s="5" t="s">
        <v>250</v>
      </c>
      <c r="C49" s="6" t="s">
        <v>251</v>
      </c>
      <c r="D49" s="9" t="s">
        <v>29</v>
      </c>
      <c r="E49" s="5" t="s">
        <v>275</v>
      </c>
      <c r="F49" s="6" t="s">
        <v>276</v>
      </c>
      <c r="G49" s="5" t="s">
        <v>277</v>
      </c>
      <c r="H49" s="6" t="s">
        <v>278</v>
      </c>
      <c r="I49" s="5" t="s">
        <v>279</v>
      </c>
      <c r="J49" s="8" t="s">
        <v>21</v>
      </c>
      <c r="K49" s="4"/>
      <c r="L49" s="5" t="s">
        <v>280</v>
      </c>
    </row>
    <row r="50" customFormat="false" ht="44" hidden="false" customHeight="false" outlineLevel="0" collapsed="false">
      <c r="A50" s="4" t="s">
        <v>0</v>
      </c>
      <c r="B50" s="5" t="s">
        <v>250</v>
      </c>
      <c r="C50" s="6" t="s">
        <v>251</v>
      </c>
      <c r="D50" s="9" t="s">
        <v>29</v>
      </c>
      <c r="E50" s="5" t="s">
        <v>281</v>
      </c>
      <c r="F50" s="6" t="s">
        <v>282</v>
      </c>
      <c r="G50" s="5" t="s">
        <v>283</v>
      </c>
      <c r="H50" s="5" t="s">
        <v>284</v>
      </c>
      <c r="I50" s="5" t="s">
        <v>285</v>
      </c>
      <c r="J50" s="8" t="s">
        <v>21</v>
      </c>
      <c r="K50" s="4"/>
      <c r="L50" s="5" t="s">
        <v>286</v>
      </c>
    </row>
    <row r="51" customFormat="false" ht="44" hidden="false" customHeight="false" outlineLevel="0" collapsed="false">
      <c r="A51" s="4" t="s">
        <v>0</v>
      </c>
      <c r="B51" s="5" t="s">
        <v>250</v>
      </c>
      <c r="C51" s="6" t="s">
        <v>251</v>
      </c>
      <c r="D51" s="9" t="s">
        <v>29</v>
      </c>
      <c r="E51" s="5" t="s">
        <v>287</v>
      </c>
      <c r="F51" s="5" t="s">
        <v>288</v>
      </c>
      <c r="G51" s="5" t="s">
        <v>289</v>
      </c>
      <c r="H51" s="5" t="s">
        <v>290</v>
      </c>
      <c r="I51" s="5" t="s">
        <v>291</v>
      </c>
      <c r="J51" s="10" t="s">
        <v>56</v>
      </c>
      <c r="K51" s="4"/>
      <c r="L51" s="5" t="s">
        <v>292</v>
      </c>
    </row>
    <row r="52" customFormat="false" ht="29.85" hidden="false" customHeight="false" outlineLevel="0" collapsed="false">
      <c r="A52" s="4" t="s">
        <v>0</v>
      </c>
      <c r="B52" s="5" t="s">
        <v>250</v>
      </c>
      <c r="C52" s="6" t="s">
        <v>251</v>
      </c>
      <c r="D52" s="9" t="s">
        <v>29</v>
      </c>
      <c r="E52" s="5" t="s">
        <v>293</v>
      </c>
      <c r="F52" s="5" t="s">
        <v>294</v>
      </c>
      <c r="G52" s="5" t="s">
        <v>295</v>
      </c>
      <c r="H52" s="6" t="s">
        <v>296</v>
      </c>
      <c r="I52" s="5" t="s">
        <v>297</v>
      </c>
      <c r="J52" s="10" t="s">
        <v>56</v>
      </c>
      <c r="K52" s="4"/>
      <c r="L52" s="5" t="s">
        <v>298</v>
      </c>
    </row>
    <row r="53" customFormat="false" ht="29.85" hidden="false" customHeight="false" outlineLevel="0" collapsed="false">
      <c r="A53" s="4" t="s">
        <v>0</v>
      </c>
      <c r="B53" s="5" t="s">
        <v>250</v>
      </c>
      <c r="C53" s="6" t="s">
        <v>251</v>
      </c>
      <c r="D53" s="9" t="s">
        <v>29</v>
      </c>
      <c r="E53" s="5" t="s">
        <v>299</v>
      </c>
      <c r="F53" s="5" t="s">
        <v>300</v>
      </c>
      <c r="G53" s="5" t="s">
        <v>301</v>
      </c>
      <c r="H53" s="5" t="s">
        <v>302</v>
      </c>
      <c r="I53" s="5" t="s">
        <v>303</v>
      </c>
      <c r="J53" s="8" t="s">
        <v>21</v>
      </c>
      <c r="K53" s="4"/>
      <c r="L53" s="5" t="s">
        <v>304</v>
      </c>
    </row>
    <row r="54" customFormat="false" ht="44" hidden="false" customHeight="false" outlineLevel="0" collapsed="false">
      <c r="A54" s="4" t="s">
        <v>0</v>
      </c>
      <c r="B54" s="5" t="s">
        <v>250</v>
      </c>
      <c r="C54" s="6" t="s">
        <v>251</v>
      </c>
      <c r="D54" s="9" t="s">
        <v>29</v>
      </c>
      <c r="E54" s="5" t="s">
        <v>305</v>
      </c>
      <c r="F54" s="5" t="s">
        <v>306</v>
      </c>
      <c r="G54" s="5" t="s">
        <v>307</v>
      </c>
      <c r="H54" s="5" t="s">
        <v>308</v>
      </c>
      <c r="I54" s="5" t="s">
        <v>309</v>
      </c>
      <c r="J54" s="8" t="s">
        <v>21</v>
      </c>
      <c r="K54" s="4"/>
      <c r="L54" s="5" t="s">
        <v>310</v>
      </c>
    </row>
    <row r="55" customFormat="false" ht="29.85" hidden="false" customHeight="false" outlineLevel="0" collapsed="false">
      <c r="A55" s="4" t="s">
        <v>0</v>
      </c>
      <c r="B55" s="5" t="s">
        <v>250</v>
      </c>
      <c r="C55" s="6" t="s">
        <v>251</v>
      </c>
      <c r="D55" s="9" t="s">
        <v>29</v>
      </c>
      <c r="E55" s="5" t="s">
        <v>311</v>
      </c>
      <c r="F55" s="6" t="s">
        <v>312</v>
      </c>
      <c r="G55" s="5" t="s">
        <v>313</v>
      </c>
      <c r="H55" s="5" t="s">
        <v>314</v>
      </c>
      <c r="I55" s="5" t="s">
        <v>315</v>
      </c>
      <c r="J55" s="8" t="s">
        <v>21</v>
      </c>
      <c r="K55" s="4"/>
      <c r="L55" s="5" t="s">
        <v>316</v>
      </c>
    </row>
    <row r="56" customFormat="false" ht="44" hidden="false" customHeight="false" outlineLevel="0" collapsed="false">
      <c r="A56" s="4" t="s">
        <v>0</v>
      </c>
      <c r="B56" s="5" t="s">
        <v>250</v>
      </c>
      <c r="C56" s="6" t="s">
        <v>251</v>
      </c>
      <c r="D56" s="9" t="s">
        <v>29</v>
      </c>
      <c r="E56" s="5" t="s">
        <v>317</v>
      </c>
      <c r="F56" s="6" t="s">
        <v>318</v>
      </c>
      <c r="G56" s="5" t="s">
        <v>319</v>
      </c>
      <c r="H56" s="5" t="s">
        <v>320</v>
      </c>
      <c r="I56" s="5" t="s">
        <v>321</v>
      </c>
      <c r="J56" s="8" t="s">
        <v>21</v>
      </c>
      <c r="K56" s="4"/>
      <c r="L56" s="5" t="s">
        <v>322</v>
      </c>
    </row>
    <row r="57" customFormat="false" ht="44" hidden="false" customHeight="false" outlineLevel="0" collapsed="false">
      <c r="A57" s="4" t="s">
        <v>0</v>
      </c>
      <c r="B57" s="5" t="s">
        <v>250</v>
      </c>
      <c r="C57" s="6" t="s">
        <v>251</v>
      </c>
      <c r="D57" s="9" t="s">
        <v>29</v>
      </c>
      <c r="E57" s="5" t="s">
        <v>323</v>
      </c>
      <c r="F57" s="5" t="s">
        <v>324</v>
      </c>
      <c r="G57" s="5" t="s">
        <v>325</v>
      </c>
      <c r="H57" s="6" t="s">
        <v>326</v>
      </c>
      <c r="I57" s="5" t="s">
        <v>327</v>
      </c>
      <c r="J57" s="12" t="s">
        <v>160</v>
      </c>
      <c r="K57" s="4"/>
      <c r="L57" s="5" t="s">
        <v>328</v>
      </c>
    </row>
    <row r="58" customFormat="false" ht="44" hidden="false" customHeight="false" outlineLevel="0" collapsed="false">
      <c r="A58" s="4" t="s">
        <v>0</v>
      </c>
      <c r="B58" s="5" t="s">
        <v>250</v>
      </c>
      <c r="C58" s="6" t="s">
        <v>251</v>
      </c>
      <c r="D58" s="9" t="s">
        <v>29</v>
      </c>
      <c r="E58" s="5" t="s">
        <v>329</v>
      </c>
      <c r="F58" s="6" t="s">
        <v>330</v>
      </c>
      <c r="G58" s="5" t="s">
        <v>331</v>
      </c>
      <c r="H58" s="5" t="s">
        <v>332</v>
      </c>
      <c r="I58" s="5" t="s">
        <v>333</v>
      </c>
      <c r="J58" s="12" t="s">
        <v>160</v>
      </c>
      <c r="K58" s="4"/>
      <c r="L58" s="5" t="s">
        <v>334</v>
      </c>
    </row>
    <row r="59" customFormat="false" ht="44" hidden="false" customHeight="false" outlineLevel="0" collapsed="false">
      <c r="A59" s="4" t="s">
        <v>0</v>
      </c>
      <c r="B59" s="5" t="s">
        <v>250</v>
      </c>
      <c r="C59" s="6" t="s">
        <v>251</v>
      </c>
      <c r="D59" s="9" t="s">
        <v>29</v>
      </c>
      <c r="E59" s="5" t="s">
        <v>335</v>
      </c>
      <c r="F59" s="6" t="s">
        <v>336</v>
      </c>
      <c r="G59" s="5" t="s">
        <v>337</v>
      </c>
      <c r="H59" s="5" t="s">
        <v>338</v>
      </c>
      <c r="I59" s="5" t="s">
        <v>339</v>
      </c>
      <c r="J59" s="10" t="s">
        <v>56</v>
      </c>
      <c r="K59" s="4"/>
      <c r="L59" s="5" t="s">
        <v>340</v>
      </c>
    </row>
    <row r="60" customFormat="false" ht="72.35" hidden="false" customHeight="false" outlineLevel="0" collapsed="false">
      <c r="A60" s="4" t="s">
        <v>0</v>
      </c>
      <c r="B60" s="5" t="s">
        <v>250</v>
      </c>
      <c r="C60" s="6" t="s">
        <v>251</v>
      </c>
      <c r="D60" s="9" t="s">
        <v>29</v>
      </c>
      <c r="E60" s="5" t="s">
        <v>341</v>
      </c>
      <c r="F60" s="6" t="s">
        <v>342</v>
      </c>
      <c r="G60" s="5" t="s">
        <v>343</v>
      </c>
      <c r="H60" s="6" t="s">
        <v>344</v>
      </c>
      <c r="I60" s="5" t="s">
        <v>345</v>
      </c>
      <c r="J60" s="12" t="s">
        <v>160</v>
      </c>
      <c r="K60" s="4"/>
      <c r="L60" s="5" t="s">
        <v>346</v>
      </c>
    </row>
    <row r="61" customFormat="false" ht="44" hidden="false" customHeight="false" outlineLevel="0" collapsed="false">
      <c r="A61" s="4" t="s">
        <v>0</v>
      </c>
      <c r="B61" s="5" t="s">
        <v>250</v>
      </c>
      <c r="C61" s="6" t="s">
        <v>251</v>
      </c>
      <c r="D61" s="9" t="s">
        <v>29</v>
      </c>
      <c r="E61" s="5" t="s">
        <v>347</v>
      </c>
      <c r="F61" s="5" t="s">
        <v>348</v>
      </c>
      <c r="G61" s="5" t="s">
        <v>349</v>
      </c>
      <c r="H61" s="6" t="s">
        <v>350</v>
      </c>
      <c r="I61" s="6" t="s">
        <v>351</v>
      </c>
      <c r="J61" s="10" t="s">
        <v>56</v>
      </c>
      <c r="K61" s="4"/>
      <c r="L61" s="5" t="s">
        <v>352</v>
      </c>
    </row>
    <row r="62" customFormat="false" ht="44" hidden="false" customHeight="false" outlineLevel="0" collapsed="false">
      <c r="A62" s="4" t="s">
        <v>0</v>
      </c>
      <c r="B62" s="5" t="s">
        <v>250</v>
      </c>
      <c r="C62" s="6" t="s">
        <v>251</v>
      </c>
      <c r="D62" s="9" t="s">
        <v>29</v>
      </c>
      <c r="E62" s="5" t="s">
        <v>353</v>
      </c>
      <c r="F62" s="6" t="s">
        <v>354</v>
      </c>
      <c r="G62" s="5" t="s">
        <v>355</v>
      </c>
      <c r="H62" s="6" t="s">
        <v>356</v>
      </c>
      <c r="I62" s="5" t="s">
        <v>357</v>
      </c>
      <c r="J62" s="12" t="s">
        <v>160</v>
      </c>
      <c r="K62" s="4"/>
      <c r="L62" s="5" t="s">
        <v>358</v>
      </c>
    </row>
    <row r="63" customFormat="false" ht="29.85" hidden="false" customHeight="false" outlineLevel="0" collapsed="false">
      <c r="A63" s="4" t="s">
        <v>0</v>
      </c>
      <c r="B63" s="5" t="s">
        <v>250</v>
      </c>
      <c r="C63" s="6" t="s">
        <v>251</v>
      </c>
      <c r="D63" s="9" t="s">
        <v>29</v>
      </c>
      <c r="E63" s="5" t="s">
        <v>359</v>
      </c>
      <c r="F63" s="6" t="s">
        <v>360</v>
      </c>
      <c r="G63" s="5" t="s">
        <v>361</v>
      </c>
      <c r="H63" s="6" t="s">
        <v>362</v>
      </c>
      <c r="I63" s="5" t="s">
        <v>363</v>
      </c>
      <c r="J63" s="12" t="s">
        <v>160</v>
      </c>
      <c r="K63" s="4"/>
      <c r="L63" s="5" t="s">
        <v>364</v>
      </c>
    </row>
    <row r="64" customFormat="false" ht="29.85" hidden="false" customHeight="false" outlineLevel="0" collapsed="false">
      <c r="A64" s="4" t="s">
        <v>0</v>
      </c>
      <c r="B64" s="5" t="s">
        <v>250</v>
      </c>
      <c r="C64" s="6" t="s">
        <v>251</v>
      </c>
      <c r="D64" s="9" t="s">
        <v>29</v>
      </c>
      <c r="E64" s="5" t="s">
        <v>365</v>
      </c>
      <c r="F64" s="6" t="s">
        <v>366</v>
      </c>
      <c r="G64" s="5" t="s">
        <v>367</v>
      </c>
      <c r="H64" s="5" t="s">
        <v>368</v>
      </c>
      <c r="I64" s="6" t="s">
        <v>369</v>
      </c>
      <c r="J64" s="10" t="s">
        <v>56</v>
      </c>
      <c r="K64" s="4"/>
      <c r="L64" s="5" t="s">
        <v>370</v>
      </c>
    </row>
    <row r="65" customFormat="false" ht="15" hidden="false" customHeight="false" outlineLevel="0" collapsed="false">
      <c r="A65" s="14" t="s">
        <v>371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</row>
    <row r="66" customFormat="false" ht="44" hidden="false" customHeight="false" outlineLevel="0" collapsed="false">
      <c r="A66" s="4" t="s">
        <v>0</v>
      </c>
      <c r="B66" s="5" t="s">
        <v>372</v>
      </c>
      <c r="C66" s="6" t="s">
        <v>373</v>
      </c>
      <c r="D66" s="7" t="s">
        <v>15</v>
      </c>
      <c r="E66" s="5" t="s">
        <v>374</v>
      </c>
      <c r="F66" s="6" t="s">
        <v>375</v>
      </c>
      <c r="G66" s="5" t="s">
        <v>376</v>
      </c>
      <c r="H66" s="5" t="s">
        <v>377</v>
      </c>
      <c r="I66" s="6" t="s">
        <v>378</v>
      </c>
      <c r="J66" s="8" t="s">
        <v>21</v>
      </c>
      <c r="K66" s="4"/>
      <c r="L66" s="5" t="s">
        <v>379</v>
      </c>
    </row>
    <row r="67" customFormat="false" ht="41" hidden="false" customHeight="false" outlineLevel="0" collapsed="false">
      <c r="A67" s="4" t="s">
        <v>0</v>
      </c>
      <c r="B67" s="5" t="s">
        <v>372</v>
      </c>
      <c r="C67" s="6" t="s">
        <v>373</v>
      </c>
      <c r="D67" s="7" t="s">
        <v>15</v>
      </c>
      <c r="E67" s="5" t="s">
        <v>380</v>
      </c>
      <c r="F67" s="6" t="s">
        <v>381</v>
      </c>
      <c r="G67" s="5" t="s">
        <v>382</v>
      </c>
      <c r="H67" s="6" t="s">
        <v>383</v>
      </c>
      <c r="I67" s="6" t="s">
        <v>384</v>
      </c>
      <c r="J67" s="8" t="s">
        <v>21</v>
      </c>
      <c r="K67" s="4"/>
      <c r="L67" s="5" t="s">
        <v>385</v>
      </c>
    </row>
    <row r="68" customFormat="false" ht="41" hidden="false" customHeight="false" outlineLevel="0" collapsed="false">
      <c r="A68" s="4" t="s">
        <v>0</v>
      </c>
      <c r="B68" s="5" t="s">
        <v>372</v>
      </c>
      <c r="C68" s="6" t="s">
        <v>373</v>
      </c>
      <c r="D68" s="7" t="s">
        <v>15</v>
      </c>
      <c r="E68" s="5" t="s">
        <v>386</v>
      </c>
      <c r="F68" s="6" t="s">
        <v>387</v>
      </c>
      <c r="G68" s="5" t="s">
        <v>388</v>
      </c>
      <c r="H68" s="6" t="s">
        <v>389</v>
      </c>
      <c r="I68" s="5" t="s">
        <v>390</v>
      </c>
      <c r="J68" s="12" t="s">
        <v>160</v>
      </c>
      <c r="K68" s="4"/>
      <c r="L68" s="5" t="s">
        <v>391</v>
      </c>
    </row>
    <row r="69" customFormat="false" ht="44" hidden="false" customHeight="false" outlineLevel="0" collapsed="false">
      <c r="A69" s="4" t="s">
        <v>0</v>
      </c>
      <c r="B69" s="5" t="s">
        <v>372</v>
      </c>
      <c r="C69" s="6" t="s">
        <v>373</v>
      </c>
      <c r="D69" s="7" t="s">
        <v>15</v>
      </c>
      <c r="E69" s="5" t="s">
        <v>392</v>
      </c>
      <c r="F69" s="6" t="s">
        <v>393</v>
      </c>
      <c r="G69" s="5" t="s">
        <v>394</v>
      </c>
      <c r="H69" s="6" t="s">
        <v>395</v>
      </c>
      <c r="I69" s="6" t="s">
        <v>396</v>
      </c>
      <c r="J69" s="8" t="s">
        <v>21</v>
      </c>
      <c r="K69" s="4"/>
      <c r="L69" s="5" t="s">
        <v>397</v>
      </c>
    </row>
    <row r="70" customFormat="false" ht="44" hidden="false" customHeight="false" outlineLevel="0" collapsed="false">
      <c r="A70" s="4" t="s">
        <v>0</v>
      </c>
      <c r="B70" s="5" t="s">
        <v>372</v>
      </c>
      <c r="C70" s="6" t="s">
        <v>373</v>
      </c>
      <c r="D70" s="7" t="s">
        <v>15</v>
      </c>
      <c r="E70" s="5" t="s">
        <v>398</v>
      </c>
      <c r="F70" s="6" t="s">
        <v>399</v>
      </c>
      <c r="G70" s="5" t="s">
        <v>400</v>
      </c>
      <c r="H70" s="6" t="s">
        <v>401</v>
      </c>
      <c r="I70" s="6" t="s">
        <v>402</v>
      </c>
      <c r="J70" s="8" t="s">
        <v>21</v>
      </c>
      <c r="K70" s="4"/>
      <c r="L70" s="5" t="s">
        <v>397</v>
      </c>
    </row>
    <row r="71" customFormat="false" ht="44" hidden="false" customHeight="false" outlineLevel="0" collapsed="false">
      <c r="A71" s="4" t="s">
        <v>0</v>
      </c>
      <c r="B71" s="5" t="s">
        <v>372</v>
      </c>
      <c r="C71" s="6" t="s">
        <v>373</v>
      </c>
      <c r="D71" s="7" t="s">
        <v>15</v>
      </c>
      <c r="E71" s="5" t="s">
        <v>403</v>
      </c>
      <c r="F71" s="6" t="s">
        <v>404</v>
      </c>
      <c r="G71" s="5" t="s">
        <v>405</v>
      </c>
      <c r="H71" s="6" t="s">
        <v>406</v>
      </c>
      <c r="I71" s="6" t="s">
        <v>407</v>
      </c>
      <c r="J71" s="8" t="s">
        <v>21</v>
      </c>
      <c r="K71" s="4"/>
      <c r="L71" s="5" t="s">
        <v>408</v>
      </c>
    </row>
    <row r="72" customFormat="false" ht="29.85" hidden="false" customHeight="false" outlineLevel="0" collapsed="false">
      <c r="A72" s="4" t="s">
        <v>0</v>
      </c>
      <c r="B72" s="5" t="s">
        <v>372</v>
      </c>
      <c r="C72" s="6" t="s">
        <v>373</v>
      </c>
      <c r="D72" s="7" t="s">
        <v>15</v>
      </c>
      <c r="E72" s="5" t="s">
        <v>409</v>
      </c>
      <c r="F72" s="6" t="s">
        <v>410</v>
      </c>
      <c r="G72" s="5" t="s">
        <v>411</v>
      </c>
      <c r="H72" s="6" t="s">
        <v>412</v>
      </c>
      <c r="I72" s="6" t="s">
        <v>413</v>
      </c>
      <c r="J72" s="8" t="s">
        <v>21</v>
      </c>
      <c r="K72" s="4"/>
      <c r="L72" s="5" t="s">
        <v>408</v>
      </c>
    </row>
    <row r="73" customFormat="false" ht="29.85" hidden="false" customHeight="false" outlineLevel="0" collapsed="false">
      <c r="A73" s="4" t="s">
        <v>0</v>
      </c>
      <c r="B73" s="5" t="s">
        <v>372</v>
      </c>
      <c r="C73" s="6" t="s">
        <v>373</v>
      </c>
      <c r="D73" s="9" t="s">
        <v>29</v>
      </c>
      <c r="E73" s="5" t="s">
        <v>414</v>
      </c>
      <c r="F73" s="6" t="s">
        <v>415</v>
      </c>
      <c r="G73" s="5" t="s">
        <v>416</v>
      </c>
      <c r="H73" s="6" t="s">
        <v>417</v>
      </c>
      <c r="I73" s="6" t="s">
        <v>418</v>
      </c>
      <c r="J73" s="10" t="s">
        <v>56</v>
      </c>
      <c r="K73" s="4"/>
      <c r="L73" s="5" t="s">
        <v>419</v>
      </c>
    </row>
    <row r="74" customFormat="false" ht="29.85" hidden="false" customHeight="false" outlineLevel="0" collapsed="false">
      <c r="A74" s="4" t="s">
        <v>0</v>
      </c>
      <c r="B74" s="5" t="s">
        <v>372</v>
      </c>
      <c r="C74" s="6" t="s">
        <v>373</v>
      </c>
      <c r="D74" s="9" t="s">
        <v>29</v>
      </c>
      <c r="E74" s="5" t="s">
        <v>420</v>
      </c>
      <c r="F74" s="6" t="s">
        <v>421</v>
      </c>
      <c r="G74" s="5" t="s">
        <v>422</v>
      </c>
      <c r="H74" s="5" t="s">
        <v>423</v>
      </c>
      <c r="I74" s="6" t="s">
        <v>424</v>
      </c>
      <c r="J74" s="10" t="s">
        <v>56</v>
      </c>
      <c r="K74" s="4"/>
      <c r="L74" s="5" t="s">
        <v>425</v>
      </c>
    </row>
    <row r="75" customFormat="false" ht="23.85" hidden="false" customHeight="false" outlineLevel="0" collapsed="false">
      <c r="A75" s="4" t="s">
        <v>0</v>
      </c>
      <c r="B75" s="5" t="s">
        <v>372</v>
      </c>
      <c r="C75" s="6" t="s">
        <v>373</v>
      </c>
      <c r="D75" s="9" t="s">
        <v>29</v>
      </c>
      <c r="E75" s="5" t="s">
        <v>426</v>
      </c>
      <c r="F75" s="6" t="s">
        <v>427</v>
      </c>
      <c r="G75" s="5" t="s">
        <v>428</v>
      </c>
      <c r="H75" s="5" t="s">
        <v>429</v>
      </c>
      <c r="I75" s="6" t="s">
        <v>430</v>
      </c>
      <c r="J75" s="10" t="s">
        <v>56</v>
      </c>
      <c r="K75" s="4"/>
      <c r="L75" s="5" t="s">
        <v>431</v>
      </c>
    </row>
    <row r="76" customFormat="false" ht="58.2" hidden="false" customHeight="false" outlineLevel="0" collapsed="false">
      <c r="A76" s="4" t="s">
        <v>0</v>
      </c>
      <c r="B76" s="5" t="s">
        <v>372</v>
      </c>
      <c r="C76" s="6" t="s">
        <v>373</v>
      </c>
      <c r="D76" s="9" t="s">
        <v>29</v>
      </c>
      <c r="E76" s="5" t="s">
        <v>432</v>
      </c>
      <c r="F76" s="6" t="s">
        <v>433</v>
      </c>
      <c r="G76" s="5" t="s">
        <v>434</v>
      </c>
      <c r="H76" s="5" t="s">
        <v>435</v>
      </c>
      <c r="I76" s="6" t="s">
        <v>436</v>
      </c>
      <c r="J76" s="8" t="s">
        <v>21</v>
      </c>
      <c r="K76" s="4"/>
      <c r="L76" s="5" t="s">
        <v>437</v>
      </c>
    </row>
    <row r="77" customFormat="false" ht="44" hidden="false" customHeight="false" outlineLevel="0" collapsed="false">
      <c r="A77" s="4" t="s">
        <v>0</v>
      </c>
      <c r="B77" s="5" t="s">
        <v>372</v>
      </c>
      <c r="C77" s="6" t="s">
        <v>373</v>
      </c>
      <c r="D77" s="9" t="s">
        <v>29</v>
      </c>
      <c r="E77" s="5" t="s">
        <v>438</v>
      </c>
      <c r="F77" s="6" t="s">
        <v>439</v>
      </c>
      <c r="G77" s="5" t="s">
        <v>440</v>
      </c>
      <c r="H77" s="6" t="s">
        <v>441</v>
      </c>
      <c r="I77" s="6" t="s">
        <v>442</v>
      </c>
      <c r="J77" s="10" t="s">
        <v>56</v>
      </c>
      <c r="K77" s="4"/>
      <c r="L77" s="5" t="s">
        <v>443</v>
      </c>
    </row>
    <row r="78" customFormat="false" ht="15" hidden="false" customHeight="false" outlineLevel="0" collapsed="false">
      <c r="A78" s="14" t="s">
        <v>444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</row>
    <row r="79" customFormat="false" ht="29.85" hidden="false" customHeight="false" outlineLevel="0" collapsed="false">
      <c r="A79" s="4" t="s">
        <v>0</v>
      </c>
      <c r="B79" s="5" t="s">
        <v>445</v>
      </c>
      <c r="C79" s="6" t="s">
        <v>446</v>
      </c>
      <c r="D79" s="7" t="s">
        <v>15</v>
      </c>
      <c r="E79" s="5" t="s">
        <v>447</v>
      </c>
      <c r="F79" s="6" t="s">
        <v>448</v>
      </c>
      <c r="G79" s="5" t="s">
        <v>449</v>
      </c>
      <c r="H79" s="6" t="s">
        <v>450</v>
      </c>
      <c r="I79" s="6" t="s">
        <v>451</v>
      </c>
      <c r="J79" s="12" t="s">
        <v>160</v>
      </c>
      <c r="K79" s="4"/>
      <c r="L79" s="5" t="s">
        <v>452</v>
      </c>
    </row>
    <row r="80" customFormat="false" ht="29.85" hidden="false" customHeight="false" outlineLevel="0" collapsed="false">
      <c r="A80" s="4" t="s">
        <v>0</v>
      </c>
      <c r="B80" s="5" t="s">
        <v>445</v>
      </c>
      <c r="C80" s="6" t="s">
        <v>446</v>
      </c>
      <c r="D80" s="7" t="s">
        <v>15</v>
      </c>
      <c r="E80" s="5" t="s">
        <v>453</v>
      </c>
      <c r="F80" s="6" t="s">
        <v>454</v>
      </c>
      <c r="G80" s="5" t="s">
        <v>455</v>
      </c>
      <c r="H80" s="6" t="s">
        <v>456</v>
      </c>
      <c r="I80" s="6" t="s">
        <v>457</v>
      </c>
      <c r="J80" s="8" t="s">
        <v>21</v>
      </c>
      <c r="K80" s="4"/>
      <c r="L80" s="5" t="s">
        <v>458</v>
      </c>
    </row>
    <row r="81" customFormat="false" ht="29.85" hidden="false" customHeight="false" outlineLevel="0" collapsed="false">
      <c r="A81" s="4" t="s">
        <v>0</v>
      </c>
      <c r="B81" s="5" t="s">
        <v>445</v>
      </c>
      <c r="C81" s="6" t="s">
        <v>446</v>
      </c>
      <c r="D81" s="7" t="s">
        <v>15</v>
      </c>
      <c r="E81" s="5" t="s">
        <v>459</v>
      </c>
      <c r="F81" s="6" t="s">
        <v>460</v>
      </c>
      <c r="G81" s="5" t="s">
        <v>461</v>
      </c>
      <c r="H81" s="6" t="s">
        <v>462</v>
      </c>
      <c r="I81" s="5" t="s">
        <v>463</v>
      </c>
      <c r="J81" s="8" t="s">
        <v>21</v>
      </c>
      <c r="K81" s="4"/>
      <c r="L81" s="5" t="s">
        <v>458</v>
      </c>
    </row>
    <row r="82" customFormat="false" ht="29.85" hidden="false" customHeight="false" outlineLevel="0" collapsed="false">
      <c r="A82" s="4" t="s">
        <v>0</v>
      </c>
      <c r="B82" s="5" t="s">
        <v>445</v>
      </c>
      <c r="C82" s="6" t="s">
        <v>446</v>
      </c>
      <c r="D82" s="7" t="s">
        <v>15</v>
      </c>
      <c r="E82" s="5" t="s">
        <v>464</v>
      </c>
      <c r="F82" s="6" t="s">
        <v>465</v>
      </c>
      <c r="G82" s="5" t="s">
        <v>466</v>
      </c>
      <c r="H82" s="6" t="s">
        <v>467</v>
      </c>
      <c r="I82" s="6" t="s">
        <v>468</v>
      </c>
      <c r="J82" s="8" t="s">
        <v>21</v>
      </c>
      <c r="K82" s="4"/>
      <c r="L82" s="5" t="s">
        <v>408</v>
      </c>
    </row>
    <row r="83" customFormat="false" ht="29.85" hidden="false" customHeight="false" outlineLevel="0" collapsed="false">
      <c r="A83" s="4" t="s">
        <v>0</v>
      </c>
      <c r="B83" s="5" t="s">
        <v>445</v>
      </c>
      <c r="C83" s="6" t="s">
        <v>446</v>
      </c>
      <c r="D83" s="7" t="s">
        <v>15</v>
      </c>
      <c r="E83" s="5" t="s">
        <v>469</v>
      </c>
      <c r="F83" s="6" t="s">
        <v>470</v>
      </c>
      <c r="G83" s="5" t="s">
        <v>471</v>
      </c>
      <c r="H83" s="6" t="s">
        <v>472</v>
      </c>
      <c r="I83" s="5" t="s">
        <v>473</v>
      </c>
      <c r="J83" s="8" t="s">
        <v>21</v>
      </c>
      <c r="K83" s="4"/>
      <c r="L83" s="5" t="s">
        <v>408</v>
      </c>
    </row>
    <row r="84" customFormat="false" ht="23.85" hidden="false" customHeight="false" outlineLevel="0" collapsed="false">
      <c r="A84" s="4" t="s">
        <v>0</v>
      </c>
      <c r="B84" s="5" t="s">
        <v>445</v>
      </c>
      <c r="C84" s="6" t="s">
        <v>446</v>
      </c>
      <c r="D84" s="9" t="s">
        <v>29</v>
      </c>
      <c r="E84" s="5" t="s">
        <v>474</v>
      </c>
      <c r="F84" s="5" t="s">
        <v>475</v>
      </c>
      <c r="G84" s="5" t="s">
        <v>476</v>
      </c>
      <c r="H84" s="5" t="s">
        <v>477</v>
      </c>
      <c r="I84" s="6" t="s">
        <v>478</v>
      </c>
      <c r="J84" s="10" t="s">
        <v>56</v>
      </c>
      <c r="K84" s="4"/>
      <c r="L84" s="5" t="s">
        <v>431</v>
      </c>
    </row>
    <row r="85" customFormat="false" ht="15" hidden="false" customHeight="false" outlineLevel="0" collapsed="false">
      <c r="A85" s="15" t="s">
        <v>479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 customFormat="false" ht="29.85" hidden="false" customHeight="false" outlineLevel="0" collapsed="false">
      <c r="A86" s="4" t="s">
        <v>0</v>
      </c>
      <c r="B86" s="5" t="s">
        <v>480</v>
      </c>
      <c r="C86" s="6" t="s">
        <v>481</v>
      </c>
      <c r="D86" s="7" t="s">
        <v>15</v>
      </c>
      <c r="E86" s="5" t="s">
        <v>482</v>
      </c>
      <c r="F86" s="6" t="s">
        <v>483</v>
      </c>
      <c r="G86" s="5" t="s">
        <v>484</v>
      </c>
      <c r="H86" s="6" t="s">
        <v>485</v>
      </c>
      <c r="I86" s="6" t="s">
        <v>486</v>
      </c>
      <c r="J86" s="8" t="s">
        <v>21</v>
      </c>
      <c r="K86" s="4"/>
      <c r="L86" s="5" t="s">
        <v>487</v>
      </c>
    </row>
    <row r="87" customFormat="false" ht="29.85" hidden="false" customHeight="false" outlineLevel="0" collapsed="false">
      <c r="A87" s="4" t="s">
        <v>0</v>
      </c>
      <c r="B87" s="5" t="s">
        <v>480</v>
      </c>
      <c r="C87" s="6" t="s">
        <v>481</v>
      </c>
      <c r="D87" s="7" t="s">
        <v>15</v>
      </c>
      <c r="E87" s="5" t="s">
        <v>488</v>
      </c>
      <c r="F87" s="6" t="s">
        <v>489</v>
      </c>
      <c r="G87" s="5" t="s">
        <v>490</v>
      </c>
      <c r="H87" s="5" t="s">
        <v>491</v>
      </c>
      <c r="I87" s="6" t="s">
        <v>492</v>
      </c>
      <c r="J87" s="12" t="s">
        <v>160</v>
      </c>
      <c r="K87" s="4"/>
      <c r="L87" s="5" t="s">
        <v>493</v>
      </c>
    </row>
    <row r="88" customFormat="false" ht="29.85" hidden="false" customHeight="false" outlineLevel="0" collapsed="false">
      <c r="A88" s="4" t="s">
        <v>0</v>
      </c>
      <c r="B88" s="5" t="s">
        <v>480</v>
      </c>
      <c r="C88" s="6" t="s">
        <v>481</v>
      </c>
      <c r="D88" s="7" t="s">
        <v>15</v>
      </c>
      <c r="E88" s="5" t="s">
        <v>494</v>
      </c>
      <c r="F88" s="6" t="s">
        <v>495</v>
      </c>
      <c r="G88" s="5" t="s">
        <v>496</v>
      </c>
      <c r="H88" s="6" t="s">
        <v>497</v>
      </c>
      <c r="I88" s="5" t="s">
        <v>498</v>
      </c>
      <c r="J88" s="8" t="s">
        <v>21</v>
      </c>
      <c r="K88" s="4"/>
      <c r="L88" s="5" t="s">
        <v>493</v>
      </c>
    </row>
    <row r="89" customFormat="false" ht="29.85" hidden="false" customHeight="false" outlineLevel="0" collapsed="false">
      <c r="A89" s="4" t="s">
        <v>0</v>
      </c>
      <c r="B89" s="5" t="s">
        <v>480</v>
      </c>
      <c r="C89" s="6" t="s">
        <v>481</v>
      </c>
      <c r="D89" s="7" t="s">
        <v>15</v>
      </c>
      <c r="E89" s="5" t="s">
        <v>499</v>
      </c>
      <c r="F89" s="6" t="s">
        <v>500</v>
      </c>
      <c r="G89" s="5" t="s">
        <v>501</v>
      </c>
      <c r="H89" s="6" t="s">
        <v>502</v>
      </c>
      <c r="I89" s="6" t="s">
        <v>503</v>
      </c>
      <c r="J89" s="8" t="s">
        <v>21</v>
      </c>
      <c r="K89" s="4"/>
      <c r="L89" s="5" t="s">
        <v>397</v>
      </c>
    </row>
    <row r="90" customFormat="false" ht="58.2" hidden="false" customHeight="false" outlineLevel="0" collapsed="false">
      <c r="A90" s="4" t="s">
        <v>0</v>
      </c>
      <c r="B90" s="5" t="s">
        <v>480</v>
      </c>
      <c r="C90" s="6" t="s">
        <v>481</v>
      </c>
      <c r="D90" s="7" t="s">
        <v>15</v>
      </c>
      <c r="E90" s="5" t="s">
        <v>504</v>
      </c>
      <c r="F90" s="6" t="s">
        <v>505</v>
      </c>
      <c r="G90" s="5" t="s">
        <v>506</v>
      </c>
      <c r="H90" s="6" t="s">
        <v>507</v>
      </c>
      <c r="I90" s="5" t="s">
        <v>508</v>
      </c>
      <c r="J90" s="10" t="s">
        <v>56</v>
      </c>
      <c r="K90" s="4"/>
      <c r="L90" s="5" t="s">
        <v>509</v>
      </c>
    </row>
    <row r="91" customFormat="false" ht="29.85" hidden="false" customHeight="false" outlineLevel="0" collapsed="false">
      <c r="A91" s="4" t="s">
        <v>0</v>
      </c>
      <c r="B91" s="5" t="s">
        <v>480</v>
      </c>
      <c r="C91" s="6" t="s">
        <v>481</v>
      </c>
      <c r="D91" s="7" t="s">
        <v>15</v>
      </c>
      <c r="E91" s="5" t="s">
        <v>510</v>
      </c>
      <c r="F91" s="6" t="s">
        <v>511</v>
      </c>
      <c r="G91" s="5" t="s">
        <v>512</v>
      </c>
      <c r="H91" s="6" t="s">
        <v>513</v>
      </c>
      <c r="I91" s="6" t="s">
        <v>514</v>
      </c>
      <c r="J91" s="8" t="s">
        <v>21</v>
      </c>
      <c r="K91" s="4"/>
      <c r="L91" s="5" t="s">
        <v>515</v>
      </c>
    </row>
    <row r="92" customFormat="false" ht="44" hidden="false" customHeight="false" outlineLevel="0" collapsed="false">
      <c r="A92" s="4" t="s">
        <v>0</v>
      </c>
      <c r="B92" s="5" t="s">
        <v>480</v>
      </c>
      <c r="C92" s="6" t="s">
        <v>481</v>
      </c>
      <c r="D92" s="9" t="s">
        <v>29</v>
      </c>
      <c r="E92" s="5" t="s">
        <v>516</v>
      </c>
      <c r="F92" s="6" t="s">
        <v>517</v>
      </c>
      <c r="G92" s="5" t="s">
        <v>518</v>
      </c>
      <c r="H92" s="6" t="s">
        <v>519</v>
      </c>
      <c r="I92" s="5" t="s">
        <v>520</v>
      </c>
      <c r="J92" s="12" t="s">
        <v>160</v>
      </c>
      <c r="K92" s="4"/>
      <c r="L92" s="5" t="s">
        <v>521</v>
      </c>
    </row>
    <row r="93" customFormat="false" ht="44" hidden="false" customHeight="false" outlineLevel="0" collapsed="false">
      <c r="A93" s="4" t="s">
        <v>0</v>
      </c>
      <c r="B93" s="5" t="s">
        <v>480</v>
      </c>
      <c r="C93" s="6" t="s">
        <v>481</v>
      </c>
      <c r="D93" s="9" t="s">
        <v>29</v>
      </c>
      <c r="E93" s="5" t="s">
        <v>522</v>
      </c>
      <c r="F93" s="6" t="s">
        <v>523</v>
      </c>
      <c r="G93" s="5" t="s">
        <v>524</v>
      </c>
      <c r="H93" s="5" t="s">
        <v>525</v>
      </c>
      <c r="I93" s="5" t="s">
        <v>526</v>
      </c>
      <c r="J93" s="8" t="s">
        <v>21</v>
      </c>
      <c r="K93" s="4"/>
      <c r="L93" s="5" t="s">
        <v>527</v>
      </c>
    </row>
    <row r="94" customFormat="false" ht="44" hidden="false" customHeight="false" outlineLevel="0" collapsed="false">
      <c r="A94" s="4" t="s">
        <v>0</v>
      </c>
      <c r="B94" s="5" t="s">
        <v>480</v>
      </c>
      <c r="C94" s="6" t="s">
        <v>481</v>
      </c>
      <c r="D94" s="9" t="s">
        <v>29</v>
      </c>
      <c r="E94" s="5" t="s">
        <v>528</v>
      </c>
      <c r="F94" s="6" t="s">
        <v>529</v>
      </c>
      <c r="G94" s="5" t="s">
        <v>530</v>
      </c>
      <c r="H94" s="6" t="s">
        <v>531</v>
      </c>
      <c r="I94" s="5" t="s">
        <v>532</v>
      </c>
      <c r="J94" s="12" t="s">
        <v>160</v>
      </c>
      <c r="K94" s="4"/>
      <c r="L94" s="5" t="s">
        <v>533</v>
      </c>
    </row>
    <row r="95" customFormat="false" ht="44" hidden="false" customHeight="false" outlineLevel="0" collapsed="false">
      <c r="A95" s="4" t="s">
        <v>0</v>
      </c>
      <c r="B95" s="5" t="s">
        <v>480</v>
      </c>
      <c r="C95" s="6" t="s">
        <v>481</v>
      </c>
      <c r="D95" s="9" t="s">
        <v>29</v>
      </c>
      <c r="E95" s="5" t="s">
        <v>534</v>
      </c>
      <c r="F95" s="6" t="s">
        <v>535</v>
      </c>
      <c r="G95" s="5" t="s">
        <v>536</v>
      </c>
      <c r="H95" s="6" t="s">
        <v>537</v>
      </c>
      <c r="I95" s="5" t="s">
        <v>538</v>
      </c>
      <c r="J95" s="12" t="s">
        <v>160</v>
      </c>
      <c r="K95" s="4"/>
      <c r="L95" s="5" t="s">
        <v>539</v>
      </c>
    </row>
    <row r="96" customFormat="false" ht="44" hidden="false" customHeight="false" outlineLevel="0" collapsed="false">
      <c r="A96" s="4" t="s">
        <v>0</v>
      </c>
      <c r="B96" s="5" t="s">
        <v>480</v>
      </c>
      <c r="C96" s="6" t="s">
        <v>481</v>
      </c>
      <c r="D96" s="9" t="s">
        <v>29</v>
      </c>
      <c r="E96" s="5" t="s">
        <v>540</v>
      </c>
      <c r="F96" s="6" t="s">
        <v>541</v>
      </c>
      <c r="G96" s="5" t="s">
        <v>542</v>
      </c>
      <c r="H96" s="6" t="s">
        <v>543</v>
      </c>
      <c r="I96" s="5" t="s">
        <v>544</v>
      </c>
      <c r="J96" s="12" t="s">
        <v>160</v>
      </c>
      <c r="K96" s="4"/>
      <c r="L96" s="5" t="s">
        <v>545</v>
      </c>
    </row>
    <row r="97" customFormat="false" ht="29.85" hidden="false" customHeight="false" outlineLevel="0" collapsed="false">
      <c r="A97" s="4" t="s">
        <v>0</v>
      </c>
      <c r="B97" s="5" t="s">
        <v>480</v>
      </c>
      <c r="C97" s="6" t="s">
        <v>481</v>
      </c>
      <c r="D97" s="9" t="s">
        <v>29</v>
      </c>
      <c r="E97" s="5" t="s">
        <v>546</v>
      </c>
      <c r="F97" s="6" t="s">
        <v>547</v>
      </c>
      <c r="G97" s="5" t="s">
        <v>548</v>
      </c>
      <c r="H97" s="6" t="s">
        <v>549</v>
      </c>
      <c r="I97" s="6" t="s">
        <v>424</v>
      </c>
      <c r="J97" s="10" t="s">
        <v>56</v>
      </c>
      <c r="K97" s="4"/>
      <c r="L97" s="5" t="s">
        <v>550</v>
      </c>
    </row>
    <row r="98" customFormat="false" ht="29.85" hidden="false" customHeight="false" outlineLevel="0" collapsed="false">
      <c r="A98" s="4" t="s">
        <v>0</v>
      </c>
      <c r="B98" s="5" t="s">
        <v>480</v>
      </c>
      <c r="C98" s="6" t="s">
        <v>481</v>
      </c>
      <c r="D98" s="9" t="s">
        <v>29</v>
      </c>
      <c r="E98" s="5" t="s">
        <v>551</v>
      </c>
      <c r="F98" s="6" t="s">
        <v>552</v>
      </c>
      <c r="G98" s="5" t="s">
        <v>553</v>
      </c>
      <c r="H98" s="5" t="s">
        <v>554</v>
      </c>
      <c r="I98" s="6" t="s">
        <v>555</v>
      </c>
      <c r="J98" s="10" t="s">
        <v>56</v>
      </c>
      <c r="K98" s="4"/>
      <c r="L98" s="5" t="s">
        <v>556</v>
      </c>
    </row>
    <row r="99" customFormat="false" ht="58.2" hidden="false" customHeight="false" outlineLevel="0" collapsed="false">
      <c r="A99" s="4" t="s">
        <v>0</v>
      </c>
      <c r="B99" s="5" t="s">
        <v>480</v>
      </c>
      <c r="C99" s="6" t="s">
        <v>481</v>
      </c>
      <c r="D99" s="9" t="s">
        <v>29</v>
      </c>
      <c r="E99" s="5" t="s">
        <v>557</v>
      </c>
      <c r="F99" s="6" t="s">
        <v>558</v>
      </c>
      <c r="G99" s="5" t="s">
        <v>559</v>
      </c>
      <c r="H99" s="5" t="s">
        <v>560</v>
      </c>
      <c r="I99" s="5" t="s">
        <v>561</v>
      </c>
      <c r="J99" s="12" t="s">
        <v>160</v>
      </c>
      <c r="K99" s="4"/>
      <c r="L99" s="5" t="s">
        <v>562</v>
      </c>
    </row>
    <row r="100" customFormat="false" ht="58.2" hidden="false" customHeight="false" outlineLevel="0" collapsed="false">
      <c r="A100" s="4" t="s">
        <v>0</v>
      </c>
      <c r="B100" s="5" t="s">
        <v>480</v>
      </c>
      <c r="C100" s="6" t="s">
        <v>481</v>
      </c>
      <c r="D100" s="9" t="s">
        <v>29</v>
      </c>
      <c r="E100" s="5" t="s">
        <v>563</v>
      </c>
      <c r="F100" s="5" t="s">
        <v>564</v>
      </c>
      <c r="G100" s="5" t="s">
        <v>565</v>
      </c>
      <c r="H100" s="5" t="s">
        <v>566</v>
      </c>
      <c r="I100" s="5" t="s">
        <v>567</v>
      </c>
      <c r="J100" s="12" t="s">
        <v>160</v>
      </c>
      <c r="K100" s="4"/>
      <c r="L100" s="5" t="s">
        <v>568</v>
      </c>
    </row>
    <row r="101" customFormat="false" ht="44" hidden="false" customHeight="false" outlineLevel="0" collapsed="false">
      <c r="A101" s="4" t="s">
        <v>0</v>
      </c>
      <c r="B101" s="5" t="s">
        <v>480</v>
      </c>
      <c r="C101" s="6" t="s">
        <v>481</v>
      </c>
      <c r="D101" s="9" t="s">
        <v>29</v>
      </c>
      <c r="E101" s="5" t="s">
        <v>569</v>
      </c>
      <c r="F101" s="6" t="s">
        <v>570</v>
      </c>
      <c r="G101" s="5" t="s">
        <v>571</v>
      </c>
      <c r="H101" s="5" t="s">
        <v>572</v>
      </c>
      <c r="I101" s="5" t="s">
        <v>573</v>
      </c>
      <c r="J101" s="12" t="s">
        <v>160</v>
      </c>
      <c r="K101" s="4"/>
      <c r="L101" s="5" t="s">
        <v>574</v>
      </c>
    </row>
    <row r="102" customFormat="false" ht="58.2" hidden="false" customHeight="false" outlineLevel="0" collapsed="false">
      <c r="A102" s="4" t="s">
        <v>0</v>
      </c>
      <c r="B102" s="5" t="s">
        <v>480</v>
      </c>
      <c r="C102" s="6" t="s">
        <v>481</v>
      </c>
      <c r="D102" s="9" t="s">
        <v>29</v>
      </c>
      <c r="E102" s="5" t="s">
        <v>575</v>
      </c>
      <c r="F102" s="5" t="s">
        <v>576</v>
      </c>
      <c r="G102" s="5" t="s">
        <v>577</v>
      </c>
      <c r="H102" s="5" t="s">
        <v>578</v>
      </c>
      <c r="I102" s="5" t="s">
        <v>579</v>
      </c>
      <c r="J102" s="12" t="s">
        <v>160</v>
      </c>
      <c r="K102" s="4"/>
      <c r="L102" s="5" t="s">
        <v>574</v>
      </c>
    </row>
    <row r="103" customFormat="false" ht="58.2" hidden="false" customHeight="false" outlineLevel="0" collapsed="false">
      <c r="A103" s="4" t="s">
        <v>0</v>
      </c>
      <c r="B103" s="5" t="s">
        <v>480</v>
      </c>
      <c r="C103" s="6" t="s">
        <v>481</v>
      </c>
      <c r="D103" s="9" t="s">
        <v>29</v>
      </c>
      <c r="E103" s="5" t="s">
        <v>580</v>
      </c>
      <c r="F103" s="5" t="s">
        <v>581</v>
      </c>
      <c r="G103" s="5" t="s">
        <v>582</v>
      </c>
      <c r="H103" s="5" t="s">
        <v>583</v>
      </c>
      <c r="I103" s="5" t="s">
        <v>584</v>
      </c>
      <c r="J103" s="12" t="s">
        <v>160</v>
      </c>
      <c r="K103" s="4"/>
      <c r="L103" s="5" t="s">
        <v>585</v>
      </c>
    </row>
    <row r="104" customFormat="false" ht="44" hidden="false" customHeight="false" outlineLevel="0" collapsed="false">
      <c r="A104" s="4" t="s">
        <v>0</v>
      </c>
      <c r="B104" s="5" t="s">
        <v>480</v>
      </c>
      <c r="C104" s="6" t="s">
        <v>481</v>
      </c>
      <c r="D104" s="9" t="s">
        <v>29</v>
      </c>
      <c r="E104" s="5" t="s">
        <v>586</v>
      </c>
      <c r="F104" s="5" t="s">
        <v>587</v>
      </c>
      <c r="G104" s="5" t="s">
        <v>588</v>
      </c>
      <c r="H104" s="5" t="s">
        <v>589</v>
      </c>
      <c r="I104" s="5" t="s">
        <v>590</v>
      </c>
      <c r="J104" s="12" t="s">
        <v>160</v>
      </c>
      <c r="K104" s="4"/>
      <c r="L104" s="5" t="s">
        <v>591</v>
      </c>
    </row>
    <row r="105" customFormat="false" ht="44" hidden="false" customHeight="false" outlineLevel="0" collapsed="false">
      <c r="A105" s="4" t="s">
        <v>0</v>
      </c>
      <c r="B105" s="5" t="s">
        <v>480</v>
      </c>
      <c r="C105" s="6" t="s">
        <v>481</v>
      </c>
      <c r="D105" s="9" t="s">
        <v>29</v>
      </c>
      <c r="E105" s="5" t="s">
        <v>592</v>
      </c>
      <c r="F105" s="6" t="s">
        <v>593</v>
      </c>
      <c r="G105" s="5" t="s">
        <v>594</v>
      </c>
      <c r="H105" s="5" t="s">
        <v>595</v>
      </c>
      <c r="I105" s="5" t="s">
        <v>596</v>
      </c>
      <c r="J105" s="12" t="s">
        <v>160</v>
      </c>
      <c r="K105" s="4"/>
      <c r="L105" s="5" t="s">
        <v>597</v>
      </c>
    </row>
    <row r="106" customFormat="false" ht="44" hidden="false" customHeight="false" outlineLevel="0" collapsed="false">
      <c r="A106" s="4" t="s">
        <v>0</v>
      </c>
      <c r="B106" s="5" t="s">
        <v>480</v>
      </c>
      <c r="C106" s="6" t="s">
        <v>481</v>
      </c>
      <c r="D106" s="9" t="s">
        <v>29</v>
      </c>
      <c r="E106" s="5" t="s">
        <v>598</v>
      </c>
      <c r="F106" s="5" t="s">
        <v>599</v>
      </c>
      <c r="G106" s="5" t="s">
        <v>600</v>
      </c>
      <c r="H106" s="5" t="s">
        <v>601</v>
      </c>
      <c r="I106" s="5" t="s">
        <v>602</v>
      </c>
      <c r="J106" s="12" t="s">
        <v>160</v>
      </c>
      <c r="K106" s="4"/>
      <c r="L106" s="5" t="s">
        <v>603</v>
      </c>
    </row>
    <row r="107" customFormat="false" ht="29.85" hidden="false" customHeight="false" outlineLevel="0" collapsed="false">
      <c r="A107" s="4" t="s">
        <v>0</v>
      </c>
      <c r="B107" s="5" t="s">
        <v>480</v>
      </c>
      <c r="C107" s="6" t="s">
        <v>481</v>
      </c>
      <c r="D107" s="9" t="s">
        <v>29</v>
      </c>
      <c r="E107" s="5" t="s">
        <v>604</v>
      </c>
      <c r="F107" s="6" t="s">
        <v>605</v>
      </c>
      <c r="G107" s="5" t="s">
        <v>606</v>
      </c>
      <c r="H107" s="6" t="s">
        <v>607</v>
      </c>
      <c r="I107" s="6" t="s">
        <v>608</v>
      </c>
      <c r="J107" s="10" t="s">
        <v>56</v>
      </c>
      <c r="K107" s="4"/>
      <c r="L107" s="5" t="s">
        <v>609</v>
      </c>
    </row>
    <row r="108" customFormat="false" ht="29.85" hidden="false" customHeight="false" outlineLevel="0" collapsed="false">
      <c r="A108" s="4" t="s">
        <v>0</v>
      </c>
      <c r="B108" s="5" t="s">
        <v>480</v>
      </c>
      <c r="C108" s="6" t="s">
        <v>481</v>
      </c>
      <c r="D108" s="9" t="s">
        <v>29</v>
      </c>
      <c r="E108" s="5" t="s">
        <v>610</v>
      </c>
      <c r="F108" s="6" t="s">
        <v>611</v>
      </c>
      <c r="G108" s="5" t="s">
        <v>612</v>
      </c>
      <c r="H108" s="5" t="s">
        <v>613</v>
      </c>
      <c r="I108" s="6" t="s">
        <v>614</v>
      </c>
      <c r="J108" s="10" t="s">
        <v>56</v>
      </c>
      <c r="K108" s="4"/>
      <c r="L108" s="5" t="s">
        <v>615</v>
      </c>
    </row>
    <row r="109" customFormat="false" ht="15" hidden="false" customHeight="false" outlineLevel="0" collapsed="false">
      <c r="A109" s="15" t="s">
        <v>616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</row>
    <row r="110" customFormat="false" ht="44" hidden="false" customHeight="false" outlineLevel="0" collapsed="false">
      <c r="A110" s="4" t="s">
        <v>0</v>
      </c>
      <c r="B110" s="5" t="s">
        <v>617</v>
      </c>
      <c r="C110" s="6" t="s">
        <v>618</v>
      </c>
      <c r="D110" s="7" t="s">
        <v>15</v>
      </c>
      <c r="E110" s="5" t="s">
        <v>619</v>
      </c>
      <c r="F110" s="6" t="s">
        <v>620</v>
      </c>
      <c r="G110" s="5" t="s">
        <v>621</v>
      </c>
      <c r="H110" s="6" t="s">
        <v>622</v>
      </c>
      <c r="I110" s="6" t="s">
        <v>623</v>
      </c>
      <c r="J110" s="8" t="s">
        <v>21</v>
      </c>
      <c r="K110" s="4"/>
      <c r="L110" s="5" t="s">
        <v>22</v>
      </c>
    </row>
    <row r="111" customFormat="false" ht="29.85" hidden="false" customHeight="false" outlineLevel="0" collapsed="false">
      <c r="A111" s="4" t="s">
        <v>0</v>
      </c>
      <c r="B111" s="5" t="s">
        <v>617</v>
      </c>
      <c r="C111" s="6" t="s">
        <v>618</v>
      </c>
      <c r="D111" s="7" t="s">
        <v>15</v>
      </c>
      <c r="E111" s="5" t="s">
        <v>624</v>
      </c>
      <c r="F111" s="6" t="s">
        <v>625</v>
      </c>
      <c r="G111" s="5" t="s">
        <v>626</v>
      </c>
      <c r="H111" s="6" t="s">
        <v>627</v>
      </c>
      <c r="I111" s="6" t="s">
        <v>628</v>
      </c>
      <c r="J111" s="8" t="s">
        <v>21</v>
      </c>
      <c r="K111" s="4"/>
      <c r="L111" s="5" t="s">
        <v>22</v>
      </c>
    </row>
    <row r="112" customFormat="false" ht="44" hidden="false" customHeight="false" outlineLevel="0" collapsed="false">
      <c r="A112" s="4" t="s">
        <v>0</v>
      </c>
      <c r="B112" s="5" t="s">
        <v>617</v>
      </c>
      <c r="C112" s="6" t="s">
        <v>618</v>
      </c>
      <c r="D112" s="7" t="s">
        <v>15</v>
      </c>
      <c r="E112" s="5" t="s">
        <v>629</v>
      </c>
      <c r="F112" s="6" t="s">
        <v>630</v>
      </c>
      <c r="G112" s="5" t="s">
        <v>631</v>
      </c>
      <c r="H112" s="5" t="s">
        <v>632</v>
      </c>
      <c r="I112" s="5" t="s">
        <v>633</v>
      </c>
      <c r="J112" s="8" t="s">
        <v>21</v>
      </c>
      <c r="K112" s="4"/>
      <c r="L112" s="5" t="s">
        <v>634</v>
      </c>
    </row>
    <row r="113" customFormat="false" ht="29.85" hidden="false" customHeight="false" outlineLevel="0" collapsed="false">
      <c r="A113" s="4" t="s">
        <v>0</v>
      </c>
      <c r="B113" s="5" t="s">
        <v>617</v>
      </c>
      <c r="C113" s="6" t="s">
        <v>618</v>
      </c>
      <c r="D113" s="7" t="s">
        <v>15</v>
      </c>
      <c r="E113" s="5" t="s">
        <v>635</v>
      </c>
      <c r="F113" s="6" t="s">
        <v>636</v>
      </c>
      <c r="G113" s="5" t="s">
        <v>637</v>
      </c>
      <c r="H113" s="5" t="s">
        <v>638</v>
      </c>
      <c r="I113" s="6" t="s">
        <v>639</v>
      </c>
      <c r="J113" s="8" t="s">
        <v>21</v>
      </c>
      <c r="K113" s="4"/>
      <c r="L113" s="5" t="s">
        <v>640</v>
      </c>
    </row>
    <row r="114" customFormat="false" ht="29.85" hidden="false" customHeight="false" outlineLevel="0" collapsed="false">
      <c r="A114" s="4" t="s">
        <v>0</v>
      </c>
      <c r="B114" s="5" t="s">
        <v>617</v>
      </c>
      <c r="C114" s="6" t="s">
        <v>618</v>
      </c>
      <c r="D114" s="7" t="s">
        <v>15</v>
      </c>
      <c r="E114" s="5" t="s">
        <v>641</v>
      </c>
      <c r="F114" s="6" t="s">
        <v>642</v>
      </c>
      <c r="G114" s="5" t="s">
        <v>643</v>
      </c>
      <c r="H114" s="6" t="s">
        <v>644</v>
      </c>
      <c r="I114" s="6" t="s">
        <v>645</v>
      </c>
      <c r="J114" s="8" t="s">
        <v>21</v>
      </c>
      <c r="K114" s="4"/>
      <c r="L114" s="5" t="s">
        <v>640</v>
      </c>
    </row>
    <row r="115" customFormat="false" ht="29.85" hidden="false" customHeight="false" outlineLevel="0" collapsed="false">
      <c r="A115" s="4" t="s">
        <v>0</v>
      </c>
      <c r="B115" s="5" t="s">
        <v>617</v>
      </c>
      <c r="C115" s="6" t="s">
        <v>618</v>
      </c>
      <c r="D115" s="7" t="s">
        <v>15</v>
      </c>
      <c r="E115" s="5" t="s">
        <v>646</v>
      </c>
      <c r="F115" s="6" t="s">
        <v>647</v>
      </c>
      <c r="G115" s="5" t="s">
        <v>648</v>
      </c>
      <c r="H115" s="6" t="s">
        <v>649</v>
      </c>
      <c r="I115" s="6" t="s">
        <v>650</v>
      </c>
      <c r="J115" s="8" t="s">
        <v>21</v>
      </c>
      <c r="K115" s="4"/>
      <c r="L115" s="5" t="s">
        <v>640</v>
      </c>
    </row>
    <row r="116" customFormat="false" ht="35.05" hidden="false" customHeight="false" outlineLevel="0" collapsed="false">
      <c r="A116" s="4" t="s">
        <v>0</v>
      </c>
      <c r="B116" s="5" t="s">
        <v>617</v>
      </c>
      <c r="C116" s="6" t="s">
        <v>618</v>
      </c>
      <c r="D116" s="7" t="s">
        <v>15</v>
      </c>
      <c r="E116" s="5" t="s">
        <v>651</v>
      </c>
      <c r="F116" s="6" t="s">
        <v>652</v>
      </c>
      <c r="G116" s="5" t="s">
        <v>653</v>
      </c>
      <c r="H116" s="6" t="s">
        <v>654</v>
      </c>
      <c r="I116" s="6" t="s">
        <v>655</v>
      </c>
      <c r="J116" s="8" t="s">
        <v>21</v>
      </c>
      <c r="K116" s="4"/>
      <c r="L116" s="5" t="s">
        <v>656</v>
      </c>
    </row>
    <row r="117" customFormat="false" ht="29.85" hidden="false" customHeight="false" outlineLevel="0" collapsed="false">
      <c r="A117" s="4" t="s">
        <v>0</v>
      </c>
      <c r="B117" s="5" t="s">
        <v>617</v>
      </c>
      <c r="C117" s="6" t="s">
        <v>618</v>
      </c>
      <c r="D117" s="7" t="s">
        <v>15</v>
      </c>
      <c r="E117" s="5" t="s">
        <v>657</v>
      </c>
      <c r="F117" s="6" t="s">
        <v>658</v>
      </c>
      <c r="G117" s="5" t="s">
        <v>659</v>
      </c>
      <c r="H117" s="6" t="s">
        <v>660</v>
      </c>
      <c r="I117" s="6" t="s">
        <v>661</v>
      </c>
      <c r="J117" s="8" t="s">
        <v>21</v>
      </c>
      <c r="K117" s="4"/>
      <c r="L117" s="5" t="s">
        <v>662</v>
      </c>
    </row>
    <row r="118" customFormat="false" ht="29.85" hidden="false" customHeight="false" outlineLevel="0" collapsed="false">
      <c r="A118" s="4" t="s">
        <v>0</v>
      </c>
      <c r="B118" s="5" t="s">
        <v>617</v>
      </c>
      <c r="C118" s="6" t="s">
        <v>618</v>
      </c>
      <c r="D118" s="7" t="s">
        <v>15</v>
      </c>
      <c r="E118" s="5" t="s">
        <v>663</v>
      </c>
      <c r="F118" s="6" t="s">
        <v>664</v>
      </c>
      <c r="G118" s="5" t="s">
        <v>665</v>
      </c>
      <c r="H118" s="6" t="s">
        <v>666</v>
      </c>
      <c r="I118" s="5" t="s">
        <v>667</v>
      </c>
      <c r="J118" s="10" t="s">
        <v>56</v>
      </c>
      <c r="K118" s="4"/>
      <c r="L118" s="5" t="s">
        <v>408</v>
      </c>
    </row>
    <row r="119" customFormat="false" ht="44" hidden="false" customHeight="false" outlineLevel="0" collapsed="false">
      <c r="A119" s="4" t="s">
        <v>0</v>
      </c>
      <c r="B119" s="5" t="s">
        <v>617</v>
      </c>
      <c r="C119" s="6" t="s">
        <v>618</v>
      </c>
      <c r="D119" s="7" t="s">
        <v>15</v>
      </c>
      <c r="E119" s="5" t="s">
        <v>668</v>
      </c>
      <c r="F119" s="6" t="s">
        <v>669</v>
      </c>
      <c r="G119" s="5" t="s">
        <v>670</v>
      </c>
      <c r="H119" s="6" t="s">
        <v>671</v>
      </c>
      <c r="I119" s="5" t="s">
        <v>672</v>
      </c>
      <c r="J119" s="10" t="s">
        <v>56</v>
      </c>
      <c r="K119" s="4"/>
      <c r="L119" s="5" t="s">
        <v>673</v>
      </c>
    </row>
    <row r="120" customFormat="false" ht="29.85" hidden="false" customHeight="false" outlineLevel="0" collapsed="false">
      <c r="A120" s="4" t="s">
        <v>0</v>
      </c>
      <c r="B120" s="5" t="s">
        <v>617</v>
      </c>
      <c r="C120" s="6" t="s">
        <v>618</v>
      </c>
      <c r="D120" s="7" t="s">
        <v>15</v>
      </c>
      <c r="E120" s="5" t="s">
        <v>674</v>
      </c>
      <c r="F120" s="6" t="s">
        <v>675</v>
      </c>
      <c r="G120" s="5" t="s">
        <v>676</v>
      </c>
      <c r="H120" s="5" t="s">
        <v>677</v>
      </c>
      <c r="I120" s="5" t="s">
        <v>678</v>
      </c>
      <c r="J120" s="10" t="s">
        <v>56</v>
      </c>
      <c r="K120" s="4"/>
      <c r="L120" s="5" t="s">
        <v>673</v>
      </c>
    </row>
    <row r="121" customFormat="false" ht="29.85" hidden="false" customHeight="false" outlineLevel="0" collapsed="false">
      <c r="A121" s="4" t="s">
        <v>0</v>
      </c>
      <c r="B121" s="5" t="s">
        <v>617</v>
      </c>
      <c r="C121" s="6" t="s">
        <v>618</v>
      </c>
      <c r="D121" s="7" t="s">
        <v>15</v>
      </c>
      <c r="E121" s="5" t="s">
        <v>679</v>
      </c>
      <c r="F121" s="6" t="s">
        <v>680</v>
      </c>
      <c r="G121" s="5" t="s">
        <v>681</v>
      </c>
      <c r="H121" s="6" t="s">
        <v>682</v>
      </c>
      <c r="I121" s="5" t="s">
        <v>683</v>
      </c>
      <c r="J121" s="10" t="s">
        <v>56</v>
      </c>
      <c r="K121" s="4"/>
      <c r="L121" s="5" t="s">
        <v>673</v>
      </c>
    </row>
    <row r="122" customFormat="false" ht="29.85" hidden="false" customHeight="false" outlineLevel="0" collapsed="false">
      <c r="A122" s="4" t="s">
        <v>0</v>
      </c>
      <c r="B122" s="5" t="s">
        <v>617</v>
      </c>
      <c r="C122" s="6" t="s">
        <v>618</v>
      </c>
      <c r="D122" s="7" t="s">
        <v>15</v>
      </c>
      <c r="E122" s="5" t="s">
        <v>684</v>
      </c>
      <c r="F122" s="6" t="s">
        <v>685</v>
      </c>
      <c r="G122" s="5" t="s">
        <v>686</v>
      </c>
      <c r="H122" s="6" t="s">
        <v>687</v>
      </c>
      <c r="I122" s="6" t="s">
        <v>688</v>
      </c>
      <c r="J122" s="8" t="s">
        <v>21</v>
      </c>
      <c r="K122" s="4"/>
      <c r="L122" s="5" t="s">
        <v>673</v>
      </c>
    </row>
    <row r="123" customFormat="false" ht="29.85" hidden="false" customHeight="false" outlineLevel="0" collapsed="false">
      <c r="A123" s="4" t="s">
        <v>0</v>
      </c>
      <c r="B123" s="5" t="s">
        <v>617</v>
      </c>
      <c r="C123" s="6" t="s">
        <v>618</v>
      </c>
      <c r="D123" s="7" t="s">
        <v>15</v>
      </c>
      <c r="E123" s="5" t="s">
        <v>689</v>
      </c>
      <c r="F123" s="6" t="s">
        <v>690</v>
      </c>
      <c r="G123" s="5" t="s">
        <v>691</v>
      </c>
      <c r="H123" s="6" t="s">
        <v>692</v>
      </c>
      <c r="I123" s="6" t="s">
        <v>693</v>
      </c>
      <c r="J123" s="8" t="s">
        <v>21</v>
      </c>
      <c r="K123" s="4"/>
      <c r="L123" s="5" t="s">
        <v>28</v>
      </c>
    </row>
    <row r="124" customFormat="false" ht="44" hidden="false" customHeight="false" outlineLevel="0" collapsed="false">
      <c r="A124" s="4" t="s">
        <v>0</v>
      </c>
      <c r="B124" s="5" t="s">
        <v>617</v>
      </c>
      <c r="C124" s="6" t="s">
        <v>618</v>
      </c>
      <c r="D124" s="7" t="s">
        <v>15</v>
      </c>
      <c r="E124" s="5" t="s">
        <v>694</v>
      </c>
      <c r="F124" s="6" t="s">
        <v>695</v>
      </c>
      <c r="G124" s="5" t="s">
        <v>696</v>
      </c>
      <c r="H124" s="6" t="s">
        <v>697</v>
      </c>
      <c r="I124" s="6" t="s">
        <v>698</v>
      </c>
      <c r="J124" s="12" t="s">
        <v>160</v>
      </c>
      <c r="K124" s="4"/>
      <c r="L124" s="5" t="s">
        <v>28</v>
      </c>
    </row>
    <row r="125" customFormat="false" ht="29.85" hidden="false" customHeight="false" outlineLevel="0" collapsed="false">
      <c r="A125" s="4" t="s">
        <v>0</v>
      </c>
      <c r="B125" s="5" t="s">
        <v>617</v>
      </c>
      <c r="C125" s="6" t="s">
        <v>618</v>
      </c>
      <c r="D125" s="7" t="s">
        <v>15</v>
      </c>
      <c r="E125" s="5" t="s">
        <v>699</v>
      </c>
      <c r="F125" s="6" t="s">
        <v>700</v>
      </c>
      <c r="G125" s="5" t="s">
        <v>701</v>
      </c>
      <c r="H125" s="5" t="s">
        <v>702</v>
      </c>
      <c r="I125" s="5" t="s">
        <v>703</v>
      </c>
      <c r="J125" s="8" t="s">
        <v>21</v>
      </c>
      <c r="K125" s="4"/>
      <c r="L125" s="5" t="s">
        <v>704</v>
      </c>
    </row>
    <row r="126" customFormat="false" ht="44" hidden="false" customHeight="false" outlineLevel="0" collapsed="false">
      <c r="A126" s="4" t="s">
        <v>0</v>
      </c>
      <c r="B126" s="5" t="s">
        <v>617</v>
      </c>
      <c r="C126" s="6" t="s">
        <v>618</v>
      </c>
      <c r="D126" s="7" t="s">
        <v>15</v>
      </c>
      <c r="E126" s="5" t="s">
        <v>705</v>
      </c>
      <c r="F126" s="6" t="s">
        <v>706</v>
      </c>
      <c r="G126" s="5" t="s">
        <v>707</v>
      </c>
      <c r="H126" s="6" t="s">
        <v>708</v>
      </c>
      <c r="I126" s="5" t="s">
        <v>709</v>
      </c>
      <c r="J126" s="8" t="s">
        <v>21</v>
      </c>
      <c r="K126" s="4"/>
      <c r="L126" s="5" t="s">
        <v>704</v>
      </c>
    </row>
    <row r="127" customFormat="false" ht="29.85" hidden="false" customHeight="false" outlineLevel="0" collapsed="false">
      <c r="A127" s="4" t="s">
        <v>0</v>
      </c>
      <c r="B127" s="5" t="s">
        <v>617</v>
      </c>
      <c r="C127" s="6" t="s">
        <v>618</v>
      </c>
      <c r="D127" s="7" t="s">
        <v>15</v>
      </c>
      <c r="E127" s="5" t="s">
        <v>710</v>
      </c>
      <c r="F127" s="6" t="s">
        <v>711</v>
      </c>
      <c r="G127" s="5" t="s">
        <v>712</v>
      </c>
      <c r="H127" s="6" t="s">
        <v>713</v>
      </c>
      <c r="I127" s="6" t="s">
        <v>714</v>
      </c>
      <c r="J127" s="8" t="s">
        <v>21</v>
      </c>
      <c r="K127" s="4"/>
      <c r="L127" s="5" t="s">
        <v>704</v>
      </c>
    </row>
    <row r="128" customFormat="false" ht="29.85" hidden="false" customHeight="false" outlineLevel="0" collapsed="false">
      <c r="A128" s="4" t="s">
        <v>0</v>
      </c>
      <c r="B128" s="5" t="s">
        <v>617</v>
      </c>
      <c r="C128" s="6" t="s">
        <v>618</v>
      </c>
      <c r="D128" s="7" t="s">
        <v>15</v>
      </c>
      <c r="E128" s="5" t="s">
        <v>715</v>
      </c>
      <c r="F128" s="6" t="s">
        <v>716</v>
      </c>
      <c r="G128" s="5" t="s">
        <v>717</v>
      </c>
      <c r="H128" s="6" t="s">
        <v>718</v>
      </c>
      <c r="I128" s="5" t="s">
        <v>719</v>
      </c>
      <c r="J128" s="8" t="s">
        <v>21</v>
      </c>
      <c r="K128" s="4"/>
      <c r="L128" s="5" t="s">
        <v>720</v>
      </c>
    </row>
    <row r="129" customFormat="false" ht="44" hidden="false" customHeight="false" outlineLevel="0" collapsed="false">
      <c r="A129" s="4" t="s">
        <v>0</v>
      </c>
      <c r="B129" s="5" t="s">
        <v>617</v>
      </c>
      <c r="C129" s="6" t="s">
        <v>618</v>
      </c>
      <c r="D129" s="7" t="s">
        <v>15</v>
      </c>
      <c r="E129" s="5" t="s">
        <v>721</v>
      </c>
      <c r="F129" s="6" t="s">
        <v>722</v>
      </c>
      <c r="G129" s="5" t="s">
        <v>723</v>
      </c>
      <c r="H129" s="5" t="s">
        <v>724</v>
      </c>
      <c r="I129" s="6" t="s">
        <v>725</v>
      </c>
      <c r="J129" s="8" t="s">
        <v>21</v>
      </c>
      <c r="K129" s="4"/>
      <c r="L129" s="5" t="s">
        <v>720</v>
      </c>
    </row>
    <row r="130" customFormat="false" ht="29.85" hidden="false" customHeight="false" outlineLevel="0" collapsed="false">
      <c r="A130" s="4" t="s">
        <v>0</v>
      </c>
      <c r="B130" s="5" t="s">
        <v>617</v>
      </c>
      <c r="C130" s="6" t="s">
        <v>618</v>
      </c>
      <c r="D130" s="7" t="s">
        <v>15</v>
      </c>
      <c r="E130" s="5" t="s">
        <v>726</v>
      </c>
      <c r="F130" s="6" t="s">
        <v>727</v>
      </c>
      <c r="G130" s="5" t="s">
        <v>728</v>
      </c>
      <c r="H130" s="6" t="s">
        <v>729</v>
      </c>
      <c r="I130" s="5" t="s">
        <v>730</v>
      </c>
      <c r="J130" s="10" t="s">
        <v>56</v>
      </c>
      <c r="K130" s="4"/>
      <c r="L130" s="5" t="s">
        <v>731</v>
      </c>
    </row>
    <row r="131" customFormat="false" ht="29.85" hidden="false" customHeight="false" outlineLevel="0" collapsed="false">
      <c r="A131" s="4" t="s">
        <v>0</v>
      </c>
      <c r="B131" s="5" t="s">
        <v>617</v>
      </c>
      <c r="C131" s="6" t="s">
        <v>618</v>
      </c>
      <c r="D131" s="7" t="s">
        <v>15</v>
      </c>
      <c r="E131" s="5" t="s">
        <v>732</v>
      </c>
      <c r="F131" s="6" t="s">
        <v>733</v>
      </c>
      <c r="G131" s="5" t="s">
        <v>734</v>
      </c>
      <c r="H131" s="6" t="s">
        <v>735</v>
      </c>
      <c r="I131" s="6" t="s">
        <v>736</v>
      </c>
      <c r="J131" s="8" t="s">
        <v>21</v>
      </c>
      <c r="K131" s="4"/>
      <c r="L131" s="5" t="s">
        <v>737</v>
      </c>
    </row>
    <row r="132" customFormat="false" ht="29.85" hidden="false" customHeight="false" outlineLevel="0" collapsed="false">
      <c r="A132" s="4" t="s">
        <v>0</v>
      </c>
      <c r="B132" s="5" t="s">
        <v>617</v>
      </c>
      <c r="C132" s="6" t="s">
        <v>618</v>
      </c>
      <c r="D132" s="7" t="s">
        <v>15</v>
      </c>
      <c r="E132" s="5" t="s">
        <v>738</v>
      </c>
      <c r="F132" s="6" t="s">
        <v>739</v>
      </c>
      <c r="G132" s="5" t="s">
        <v>740</v>
      </c>
      <c r="H132" s="6" t="s">
        <v>741</v>
      </c>
      <c r="I132" s="6" t="s">
        <v>742</v>
      </c>
      <c r="J132" s="8" t="s">
        <v>21</v>
      </c>
      <c r="K132" s="4"/>
      <c r="L132" s="5" t="s">
        <v>737</v>
      </c>
    </row>
    <row r="133" customFormat="false" ht="44" hidden="false" customHeight="false" outlineLevel="0" collapsed="false">
      <c r="A133" s="4" t="s">
        <v>0</v>
      </c>
      <c r="B133" s="5" t="s">
        <v>617</v>
      </c>
      <c r="C133" s="6" t="s">
        <v>618</v>
      </c>
      <c r="D133" s="7" t="s">
        <v>15</v>
      </c>
      <c r="E133" s="5" t="s">
        <v>743</v>
      </c>
      <c r="F133" s="6" t="s">
        <v>744</v>
      </c>
      <c r="G133" s="5" t="s">
        <v>745</v>
      </c>
      <c r="H133" s="6" t="s">
        <v>746</v>
      </c>
      <c r="I133" s="6" t="s">
        <v>747</v>
      </c>
      <c r="J133" s="8" t="s">
        <v>21</v>
      </c>
      <c r="K133" s="4"/>
      <c r="L133" s="5" t="s">
        <v>737</v>
      </c>
    </row>
    <row r="134" customFormat="false" ht="29.85" hidden="false" customHeight="false" outlineLevel="0" collapsed="false">
      <c r="A134" s="4" t="s">
        <v>0</v>
      </c>
      <c r="B134" s="5" t="s">
        <v>617</v>
      </c>
      <c r="C134" s="6" t="s">
        <v>618</v>
      </c>
      <c r="D134" s="7" t="s">
        <v>15</v>
      </c>
      <c r="E134" s="5" t="s">
        <v>748</v>
      </c>
      <c r="F134" s="6" t="s">
        <v>749</v>
      </c>
      <c r="G134" s="5" t="s">
        <v>750</v>
      </c>
      <c r="H134" s="5" t="s">
        <v>751</v>
      </c>
      <c r="I134" s="6" t="s">
        <v>752</v>
      </c>
      <c r="J134" s="8" t="s">
        <v>21</v>
      </c>
      <c r="K134" s="4"/>
      <c r="L134" s="5" t="s">
        <v>753</v>
      </c>
    </row>
    <row r="135" customFormat="false" ht="44" hidden="false" customHeight="false" outlineLevel="0" collapsed="false">
      <c r="A135" s="4" t="s">
        <v>0</v>
      </c>
      <c r="B135" s="5" t="s">
        <v>617</v>
      </c>
      <c r="C135" s="6" t="s">
        <v>618</v>
      </c>
      <c r="D135" s="7" t="s">
        <v>15</v>
      </c>
      <c r="E135" s="5" t="s">
        <v>754</v>
      </c>
      <c r="F135" s="5" t="s">
        <v>755</v>
      </c>
      <c r="G135" s="5" t="s">
        <v>756</v>
      </c>
      <c r="H135" s="6" t="s">
        <v>757</v>
      </c>
      <c r="I135" s="6" t="s">
        <v>758</v>
      </c>
      <c r="J135" s="8" t="s">
        <v>21</v>
      </c>
      <c r="K135" s="4"/>
      <c r="L135" s="5" t="s">
        <v>759</v>
      </c>
    </row>
    <row r="136" customFormat="false" ht="29.85" hidden="false" customHeight="false" outlineLevel="0" collapsed="false">
      <c r="A136" s="4" t="s">
        <v>0</v>
      </c>
      <c r="B136" s="5" t="s">
        <v>617</v>
      </c>
      <c r="C136" s="6" t="s">
        <v>618</v>
      </c>
      <c r="D136" s="7" t="s">
        <v>15</v>
      </c>
      <c r="E136" s="5" t="s">
        <v>760</v>
      </c>
      <c r="F136" s="6" t="s">
        <v>761</v>
      </c>
      <c r="G136" s="5" t="s">
        <v>762</v>
      </c>
      <c r="H136" s="5" t="s">
        <v>763</v>
      </c>
      <c r="I136" s="6" t="s">
        <v>764</v>
      </c>
      <c r="J136" s="8" t="s">
        <v>21</v>
      </c>
      <c r="K136" s="4"/>
      <c r="L136" s="5" t="s">
        <v>759</v>
      </c>
    </row>
    <row r="137" customFormat="false" ht="44" hidden="false" customHeight="false" outlineLevel="0" collapsed="false">
      <c r="A137" s="4" t="s">
        <v>0</v>
      </c>
      <c r="B137" s="5" t="s">
        <v>617</v>
      </c>
      <c r="C137" s="6" t="s">
        <v>618</v>
      </c>
      <c r="D137" s="7" t="s">
        <v>15</v>
      </c>
      <c r="E137" s="5" t="s">
        <v>765</v>
      </c>
      <c r="F137" s="6" t="s">
        <v>766</v>
      </c>
      <c r="G137" s="5" t="s">
        <v>767</v>
      </c>
      <c r="H137" s="6" t="s">
        <v>768</v>
      </c>
      <c r="I137" s="6" t="s">
        <v>769</v>
      </c>
      <c r="J137" s="8" t="s">
        <v>21</v>
      </c>
      <c r="K137" s="4"/>
      <c r="L137" s="5" t="s">
        <v>759</v>
      </c>
    </row>
    <row r="138" customFormat="false" ht="44" hidden="false" customHeight="false" outlineLevel="0" collapsed="false">
      <c r="A138" s="4" t="s">
        <v>0</v>
      </c>
      <c r="B138" s="5" t="s">
        <v>617</v>
      </c>
      <c r="C138" s="6" t="s">
        <v>618</v>
      </c>
      <c r="D138" s="7" t="s">
        <v>15</v>
      </c>
      <c r="E138" s="5" t="s">
        <v>770</v>
      </c>
      <c r="F138" s="6" t="s">
        <v>771</v>
      </c>
      <c r="G138" s="5" t="s">
        <v>772</v>
      </c>
      <c r="H138" s="5" t="s">
        <v>773</v>
      </c>
      <c r="I138" s="6" t="s">
        <v>774</v>
      </c>
      <c r="J138" s="8" t="s">
        <v>21</v>
      </c>
      <c r="K138" s="4"/>
      <c r="L138" s="5" t="s">
        <v>759</v>
      </c>
    </row>
    <row r="139" customFormat="false" ht="29.85" hidden="false" customHeight="false" outlineLevel="0" collapsed="false">
      <c r="A139" s="4" t="s">
        <v>0</v>
      </c>
      <c r="B139" s="5" t="s">
        <v>617</v>
      </c>
      <c r="C139" s="6" t="s">
        <v>618</v>
      </c>
      <c r="D139" s="7" t="s">
        <v>15</v>
      </c>
      <c r="E139" s="5" t="s">
        <v>775</v>
      </c>
      <c r="F139" s="6" t="s">
        <v>776</v>
      </c>
      <c r="G139" s="5" t="s">
        <v>777</v>
      </c>
      <c r="H139" s="6" t="s">
        <v>778</v>
      </c>
      <c r="I139" s="5" t="s">
        <v>779</v>
      </c>
      <c r="J139" s="12" t="s">
        <v>160</v>
      </c>
      <c r="K139" s="4"/>
      <c r="L139" s="5" t="s">
        <v>780</v>
      </c>
    </row>
    <row r="140" customFormat="false" ht="44" hidden="false" customHeight="false" outlineLevel="0" collapsed="false">
      <c r="A140" s="4" t="s">
        <v>0</v>
      </c>
      <c r="B140" s="5" t="s">
        <v>617</v>
      </c>
      <c r="C140" s="6" t="s">
        <v>618</v>
      </c>
      <c r="D140" s="7" t="s">
        <v>15</v>
      </c>
      <c r="E140" s="5" t="s">
        <v>781</v>
      </c>
      <c r="F140" s="6" t="s">
        <v>782</v>
      </c>
      <c r="G140" s="5" t="s">
        <v>783</v>
      </c>
      <c r="H140" s="6" t="s">
        <v>784</v>
      </c>
      <c r="I140" s="5" t="s">
        <v>785</v>
      </c>
      <c r="J140" s="12" t="s">
        <v>160</v>
      </c>
      <c r="K140" s="4"/>
      <c r="L140" s="5" t="s">
        <v>780</v>
      </c>
    </row>
    <row r="141" customFormat="false" ht="44" hidden="false" customHeight="false" outlineLevel="0" collapsed="false">
      <c r="A141" s="4" t="s">
        <v>0</v>
      </c>
      <c r="B141" s="5" t="s">
        <v>617</v>
      </c>
      <c r="C141" s="6" t="s">
        <v>618</v>
      </c>
      <c r="D141" s="7" t="s">
        <v>15</v>
      </c>
      <c r="E141" s="5" t="s">
        <v>786</v>
      </c>
      <c r="F141" s="6" t="s">
        <v>787</v>
      </c>
      <c r="G141" s="5" t="s">
        <v>788</v>
      </c>
      <c r="H141" s="5" t="s">
        <v>789</v>
      </c>
      <c r="I141" s="6" t="s">
        <v>790</v>
      </c>
      <c r="J141" s="8" t="s">
        <v>21</v>
      </c>
      <c r="K141" s="4"/>
      <c r="L141" s="5" t="s">
        <v>791</v>
      </c>
    </row>
    <row r="142" customFormat="false" ht="44" hidden="false" customHeight="false" outlineLevel="0" collapsed="false">
      <c r="A142" s="4" t="s">
        <v>0</v>
      </c>
      <c r="B142" s="5" t="s">
        <v>617</v>
      </c>
      <c r="C142" s="6" t="s">
        <v>618</v>
      </c>
      <c r="D142" s="7" t="s">
        <v>15</v>
      </c>
      <c r="E142" s="5" t="s">
        <v>792</v>
      </c>
      <c r="F142" s="6" t="s">
        <v>793</v>
      </c>
      <c r="G142" s="5" t="s">
        <v>794</v>
      </c>
      <c r="H142" s="5" t="s">
        <v>795</v>
      </c>
      <c r="I142" s="6" t="s">
        <v>796</v>
      </c>
      <c r="J142" s="12" t="s">
        <v>160</v>
      </c>
      <c r="K142" s="4"/>
      <c r="L142" s="5" t="s">
        <v>791</v>
      </c>
    </row>
    <row r="143" customFormat="false" ht="44" hidden="false" customHeight="false" outlineLevel="0" collapsed="false">
      <c r="A143" s="4" t="s">
        <v>0</v>
      </c>
      <c r="B143" s="5" t="s">
        <v>617</v>
      </c>
      <c r="C143" s="6" t="s">
        <v>618</v>
      </c>
      <c r="D143" s="7" t="s">
        <v>15</v>
      </c>
      <c r="E143" s="5" t="s">
        <v>797</v>
      </c>
      <c r="F143" s="6" t="s">
        <v>798</v>
      </c>
      <c r="G143" s="5" t="s">
        <v>799</v>
      </c>
      <c r="H143" s="5" t="s">
        <v>800</v>
      </c>
      <c r="I143" s="5" t="s">
        <v>801</v>
      </c>
      <c r="J143" s="8" t="s">
        <v>21</v>
      </c>
      <c r="K143" s="4"/>
      <c r="L143" s="5" t="s">
        <v>791</v>
      </c>
    </row>
    <row r="144" customFormat="false" ht="29.85" hidden="false" customHeight="false" outlineLevel="0" collapsed="false">
      <c r="A144" s="4" t="s">
        <v>0</v>
      </c>
      <c r="B144" s="5" t="s">
        <v>617</v>
      </c>
      <c r="C144" s="6" t="s">
        <v>618</v>
      </c>
      <c r="D144" s="7" t="s">
        <v>15</v>
      </c>
      <c r="E144" s="5" t="s">
        <v>802</v>
      </c>
      <c r="F144" s="6" t="s">
        <v>803</v>
      </c>
      <c r="G144" s="5" t="s">
        <v>804</v>
      </c>
      <c r="H144" s="5" t="s">
        <v>805</v>
      </c>
      <c r="I144" s="5" t="s">
        <v>806</v>
      </c>
      <c r="J144" s="10" t="s">
        <v>56</v>
      </c>
      <c r="K144" s="4"/>
      <c r="L144" s="5" t="s">
        <v>791</v>
      </c>
    </row>
    <row r="145" customFormat="false" ht="44" hidden="false" customHeight="false" outlineLevel="0" collapsed="false">
      <c r="A145" s="4" t="s">
        <v>0</v>
      </c>
      <c r="B145" s="5" t="s">
        <v>617</v>
      </c>
      <c r="C145" s="6" t="s">
        <v>618</v>
      </c>
      <c r="D145" s="7" t="s">
        <v>15</v>
      </c>
      <c r="E145" s="5" t="s">
        <v>807</v>
      </c>
      <c r="F145" s="6" t="s">
        <v>808</v>
      </c>
      <c r="G145" s="5" t="s">
        <v>809</v>
      </c>
      <c r="H145" s="6" t="s">
        <v>810</v>
      </c>
      <c r="I145" s="5" t="s">
        <v>811</v>
      </c>
      <c r="J145" s="10" t="s">
        <v>56</v>
      </c>
      <c r="K145" s="4"/>
      <c r="L145" s="5" t="s">
        <v>812</v>
      </c>
    </row>
    <row r="146" customFormat="false" ht="23.85" hidden="false" customHeight="false" outlineLevel="0" collapsed="false">
      <c r="A146" s="4" t="s">
        <v>0</v>
      </c>
      <c r="B146" s="5" t="s">
        <v>617</v>
      </c>
      <c r="C146" s="6" t="s">
        <v>618</v>
      </c>
      <c r="D146" s="7" t="s">
        <v>15</v>
      </c>
      <c r="E146" s="5" t="s">
        <v>813</v>
      </c>
      <c r="F146" s="6" t="s">
        <v>814</v>
      </c>
      <c r="G146" s="5" t="s">
        <v>815</v>
      </c>
      <c r="H146" s="6" t="s">
        <v>816</v>
      </c>
      <c r="I146" s="6" t="s">
        <v>817</v>
      </c>
      <c r="J146" s="8" t="s">
        <v>21</v>
      </c>
      <c r="K146" s="4"/>
      <c r="L146" s="5" t="s">
        <v>812</v>
      </c>
    </row>
    <row r="147" customFormat="false" ht="29.85" hidden="false" customHeight="false" outlineLevel="0" collapsed="false">
      <c r="A147" s="4" t="s">
        <v>0</v>
      </c>
      <c r="B147" s="5" t="s">
        <v>617</v>
      </c>
      <c r="C147" s="6" t="s">
        <v>618</v>
      </c>
      <c r="D147" s="7" t="s">
        <v>15</v>
      </c>
      <c r="E147" s="5" t="s">
        <v>818</v>
      </c>
      <c r="F147" s="6" t="s">
        <v>819</v>
      </c>
      <c r="G147" s="5" t="s">
        <v>820</v>
      </c>
      <c r="H147" s="5" t="s">
        <v>821</v>
      </c>
      <c r="I147" s="6" t="s">
        <v>822</v>
      </c>
      <c r="J147" s="8" t="s">
        <v>21</v>
      </c>
      <c r="K147" s="4"/>
      <c r="L147" s="5" t="s">
        <v>812</v>
      </c>
    </row>
    <row r="148" customFormat="false" ht="29.85" hidden="false" customHeight="false" outlineLevel="0" collapsed="false">
      <c r="A148" s="4" t="s">
        <v>0</v>
      </c>
      <c r="B148" s="5" t="s">
        <v>617</v>
      </c>
      <c r="C148" s="6" t="s">
        <v>618</v>
      </c>
      <c r="D148" s="7" t="s">
        <v>15</v>
      </c>
      <c r="E148" s="5" t="s">
        <v>823</v>
      </c>
      <c r="F148" s="6" t="s">
        <v>824</v>
      </c>
      <c r="G148" s="5" t="s">
        <v>825</v>
      </c>
      <c r="H148" s="5" t="s">
        <v>826</v>
      </c>
      <c r="I148" s="5" t="s">
        <v>827</v>
      </c>
      <c r="J148" s="8" t="s">
        <v>21</v>
      </c>
      <c r="K148" s="4"/>
      <c r="L148" s="5" t="s">
        <v>812</v>
      </c>
    </row>
    <row r="149" customFormat="false" ht="44" hidden="false" customHeight="false" outlineLevel="0" collapsed="false">
      <c r="A149" s="4" t="s">
        <v>0</v>
      </c>
      <c r="B149" s="5" t="s">
        <v>617</v>
      </c>
      <c r="C149" s="6" t="s">
        <v>618</v>
      </c>
      <c r="D149" s="7" t="s">
        <v>15</v>
      </c>
      <c r="E149" s="5" t="s">
        <v>828</v>
      </c>
      <c r="F149" s="6" t="s">
        <v>829</v>
      </c>
      <c r="G149" s="5" t="s">
        <v>830</v>
      </c>
      <c r="H149" s="6" t="s">
        <v>831</v>
      </c>
      <c r="I149" s="6" t="s">
        <v>832</v>
      </c>
      <c r="J149" s="8" t="s">
        <v>21</v>
      </c>
      <c r="K149" s="4"/>
      <c r="L149" s="5" t="s">
        <v>812</v>
      </c>
    </row>
    <row r="150" customFormat="false" ht="29.85" hidden="false" customHeight="false" outlineLevel="0" collapsed="false">
      <c r="A150" s="4" t="s">
        <v>0</v>
      </c>
      <c r="B150" s="5" t="s">
        <v>617</v>
      </c>
      <c r="C150" s="6" t="s">
        <v>618</v>
      </c>
      <c r="D150" s="7" t="s">
        <v>15</v>
      </c>
      <c r="E150" s="5" t="s">
        <v>833</v>
      </c>
      <c r="F150" s="6" t="s">
        <v>834</v>
      </c>
      <c r="G150" s="5" t="s">
        <v>835</v>
      </c>
      <c r="H150" s="6" t="s">
        <v>836</v>
      </c>
      <c r="I150" s="6" t="s">
        <v>837</v>
      </c>
      <c r="J150" s="12" t="s">
        <v>160</v>
      </c>
      <c r="K150" s="4"/>
      <c r="L150" s="5" t="s">
        <v>812</v>
      </c>
    </row>
    <row r="151" customFormat="false" ht="29.85" hidden="false" customHeight="false" outlineLevel="0" collapsed="false">
      <c r="A151" s="4" t="s">
        <v>0</v>
      </c>
      <c r="B151" s="5" t="s">
        <v>617</v>
      </c>
      <c r="C151" s="6" t="s">
        <v>618</v>
      </c>
      <c r="D151" s="7" t="s">
        <v>15</v>
      </c>
      <c r="E151" s="5" t="s">
        <v>838</v>
      </c>
      <c r="F151" s="6" t="s">
        <v>839</v>
      </c>
      <c r="G151" s="5" t="s">
        <v>840</v>
      </c>
      <c r="H151" s="6" t="s">
        <v>841</v>
      </c>
      <c r="I151" s="6" t="s">
        <v>842</v>
      </c>
      <c r="J151" s="8" t="s">
        <v>21</v>
      </c>
      <c r="K151" s="4"/>
      <c r="L151" s="5" t="s">
        <v>812</v>
      </c>
    </row>
    <row r="152" customFormat="false" ht="29.85" hidden="false" customHeight="false" outlineLevel="0" collapsed="false">
      <c r="A152" s="4" t="s">
        <v>0</v>
      </c>
      <c r="B152" s="5" t="s">
        <v>617</v>
      </c>
      <c r="C152" s="6" t="s">
        <v>618</v>
      </c>
      <c r="D152" s="7" t="s">
        <v>15</v>
      </c>
      <c r="E152" s="5" t="s">
        <v>843</v>
      </c>
      <c r="F152" s="6" t="s">
        <v>844</v>
      </c>
      <c r="G152" s="5" t="s">
        <v>845</v>
      </c>
      <c r="H152" s="6" t="s">
        <v>846</v>
      </c>
      <c r="I152" s="6" t="s">
        <v>847</v>
      </c>
      <c r="J152" s="8" t="s">
        <v>21</v>
      </c>
      <c r="K152" s="4"/>
      <c r="L152" s="5" t="s">
        <v>848</v>
      </c>
    </row>
    <row r="153" customFormat="false" ht="29.85" hidden="false" customHeight="false" outlineLevel="0" collapsed="false">
      <c r="A153" s="4" t="s">
        <v>0</v>
      </c>
      <c r="B153" s="5" t="s">
        <v>617</v>
      </c>
      <c r="C153" s="6" t="s">
        <v>618</v>
      </c>
      <c r="D153" s="7" t="s">
        <v>15</v>
      </c>
      <c r="E153" s="5" t="s">
        <v>849</v>
      </c>
      <c r="F153" s="6" t="s">
        <v>850</v>
      </c>
      <c r="G153" s="5" t="s">
        <v>851</v>
      </c>
      <c r="H153" s="5" t="s">
        <v>852</v>
      </c>
      <c r="I153" s="6" t="s">
        <v>853</v>
      </c>
      <c r="J153" s="8" t="s">
        <v>21</v>
      </c>
      <c r="K153" s="4"/>
      <c r="L153" s="5" t="s">
        <v>848</v>
      </c>
    </row>
    <row r="154" customFormat="false" ht="29.85" hidden="false" customHeight="false" outlineLevel="0" collapsed="false">
      <c r="A154" s="4" t="s">
        <v>0</v>
      </c>
      <c r="B154" s="5" t="s">
        <v>617</v>
      </c>
      <c r="C154" s="6" t="s">
        <v>618</v>
      </c>
      <c r="D154" s="7" t="s">
        <v>15</v>
      </c>
      <c r="E154" s="5" t="s">
        <v>854</v>
      </c>
      <c r="F154" s="6" t="s">
        <v>855</v>
      </c>
      <c r="G154" s="5" t="s">
        <v>856</v>
      </c>
      <c r="H154" s="6" t="s">
        <v>857</v>
      </c>
      <c r="I154" s="5" t="s">
        <v>858</v>
      </c>
      <c r="J154" s="12" t="s">
        <v>160</v>
      </c>
      <c r="K154" s="4"/>
      <c r="L154" s="5" t="s">
        <v>859</v>
      </c>
    </row>
    <row r="155" customFormat="false" ht="29.85" hidden="false" customHeight="false" outlineLevel="0" collapsed="false">
      <c r="A155" s="4" t="s">
        <v>0</v>
      </c>
      <c r="B155" s="5" t="s">
        <v>617</v>
      </c>
      <c r="C155" s="6" t="s">
        <v>618</v>
      </c>
      <c r="D155" s="7" t="s">
        <v>15</v>
      </c>
      <c r="E155" s="5" t="s">
        <v>860</v>
      </c>
      <c r="F155" s="6" t="s">
        <v>861</v>
      </c>
      <c r="G155" s="5" t="s">
        <v>862</v>
      </c>
      <c r="H155" s="6" t="s">
        <v>863</v>
      </c>
      <c r="I155" s="5" t="s">
        <v>864</v>
      </c>
      <c r="J155" s="12" t="s">
        <v>160</v>
      </c>
      <c r="K155" s="4"/>
      <c r="L155" s="5" t="s">
        <v>859</v>
      </c>
    </row>
    <row r="156" customFormat="false" ht="29.85" hidden="false" customHeight="false" outlineLevel="0" collapsed="false">
      <c r="A156" s="4" t="s">
        <v>0</v>
      </c>
      <c r="B156" s="5" t="s">
        <v>617</v>
      </c>
      <c r="C156" s="6" t="s">
        <v>618</v>
      </c>
      <c r="D156" s="7" t="s">
        <v>15</v>
      </c>
      <c r="E156" s="5" t="s">
        <v>865</v>
      </c>
      <c r="F156" s="6" t="s">
        <v>866</v>
      </c>
      <c r="G156" s="5" t="s">
        <v>867</v>
      </c>
      <c r="H156" s="6" t="s">
        <v>868</v>
      </c>
      <c r="I156" s="5" t="s">
        <v>869</v>
      </c>
      <c r="J156" s="12" t="s">
        <v>160</v>
      </c>
      <c r="K156" s="4"/>
      <c r="L156" s="5" t="s">
        <v>859</v>
      </c>
    </row>
    <row r="157" customFormat="false" ht="29.85" hidden="false" customHeight="false" outlineLevel="0" collapsed="false">
      <c r="A157" s="4" t="s">
        <v>0</v>
      </c>
      <c r="B157" s="5" t="s">
        <v>617</v>
      </c>
      <c r="C157" s="6" t="s">
        <v>618</v>
      </c>
      <c r="D157" s="7" t="s">
        <v>15</v>
      </c>
      <c r="E157" s="5" t="s">
        <v>870</v>
      </c>
      <c r="F157" s="6" t="s">
        <v>871</v>
      </c>
      <c r="G157" s="5" t="s">
        <v>872</v>
      </c>
      <c r="H157" s="6" t="s">
        <v>873</v>
      </c>
      <c r="I157" s="5" t="s">
        <v>874</v>
      </c>
      <c r="J157" s="12" t="s">
        <v>160</v>
      </c>
      <c r="K157" s="4"/>
      <c r="L157" s="5" t="s">
        <v>859</v>
      </c>
    </row>
    <row r="158" customFormat="false" ht="29.85" hidden="false" customHeight="false" outlineLevel="0" collapsed="false">
      <c r="A158" s="4" t="s">
        <v>0</v>
      </c>
      <c r="B158" s="5" t="s">
        <v>617</v>
      </c>
      <c r="C158" s="6" t="s">
        <v>618</v>
      </c>
      <c r="D158" s="7" t="s">
        <v>15</v>
      </c>
      <c r="E158" s="5" t="s">
        <v>875</v>
      </c>
      <c r="F158" s="6" t="s">
        <v>876</v>
      </c>
      <c r="G158" s="5" t="s">
        <v>877</v>
      </c>
      <c r="H158" s="6" t="s">
        <v>878</v>
      </c>
      <c r="I158" s="5" t="s">
        <v>879</v>
      </c>
      <c r="J158" s="12" t="s">
        <v>160</v>
      </c>
      <c r="K158" s="4"/>
      <c r="L158" s="5" t="s">
        <v>859</v>
      </c>
    </row>
    <row r="159" customFormat="false" ht="58.2" hidden="false" customHeight="false" outlineLevel="0" collapsed="false">
      <c r="A159" s="4" t="s">
        <v>0</v>
      </c>
      <c r="B159" s="5" t="s">
        <v>617</v>
      </c>
      <c r="C159" s="6" t="s">
        <v>618</v>
      </c>
      <c r="D159" s="7" t="s">
        <v>15</v>
      </c>
      <c r="E159" s="5" t="s">
        <v>880</v>
      </c>
      <c r="F159" s="6" t="s">
        <v>881</v>
      </c>
      <c r="G159" s="5" t="s">
        <v>882</v>
      </c>
      <c r="H159" s="6" t="s">
        <v>883</v>
      </c>
      <c r="I159" s="5" t="s">
        <v>884</v>
      </c>
      <c r="J159" s="8" t="s">
        <v>21</v>
      </c>
      <c r="K159" s="4"/>
      <c r="L159" s="5" t="s">
        <v>885</v>
      </c>
    </row>
    <row r="160" customFormat="false" ht="44" hidden="false" customHeight="false" outlineLevel="0" collapsed="false">
      <c r="A160" s="4" t="s">
        <v>0</v>
      </c>
      <c r="B160" s="5" t="s">
        <v>617</v>
      </c>
      <c r="C160" s="6" t="s">
        <v>618</v>
      </c>
      <c r="D160" s="7" t="s">
        <v>15</v>
      </c>
      <c r="E160" s="5" t="s">
        <v>886</v>
      </c>
      <c r="F160" s="6" t="s">
        <v>887</v>
      </c>
      <c r="G160" s="5" t="s">
        <v>888</v>
      </c>
      <c r="H160" s="6" t="s">
        <v>889</v>
      </c>
      <c r="I160" s="6" t="s">
        <v>890</v>
      </c>
      <c r="J160" s="8" t="s">
        <v>21</v>
      </c>
      <c r="K160" s="4"/>
      <c r="L160" s="5" t="s">
        <v>885</v>
      </c>
    </row>
    <row r="161" customFormat="false" ht="58.2" hidden="false" customHeight="false" outlineLevel="0" collapsed="false">
      <c r="A161" s="4" t="s">
        <v>0</v>
      </c>
      <c r="B161" s="5" t="s">
        <v>617</v>
      </c>
      <c r="C161" s="6" t="s">
        <v>618</v>
      </c>
      <c r="D161" s="7" t="s">
        <v>15</v>
      </c>
      <c r="E161" s="5" t="s">
        <v>891</v>
      </c>
      <c r="F161" s="6" t="s">
        <v>892</v>
      </c>
      <c r="G161" s="5" t="s">
        <v>893</v>
      </c>
      <c r="H161" s="5" t="s">
        <v>894</v>
      </c>
      <c r="I161" s="5" t="s">
        <v>895</v>
      </c>
      <c r="J161" s="8" t="s">
        <v>21</v>
      </c>
      <c r="K161" s="4"/>
      <c r="L161" s="5" t="s">
        <v>885</v>
      </c>
    </row>
    <row r="162" customFormat="false" ht="44" hidden="false" customHeight="false" outlineLevel="0" collapsed="false">
      <c r="A162" s="4" t="s">
        <v>0</v>
      </c>
      <c r="B162" s="5" t="s">
        <v>617</v>
      </c>
      <c r="C162" s="6" t="s">
        <v>618</v>
      </c>
      <c r="D162" s="7" t="s">
        <v>15</v>
      </c>
      <c r="E162" s="5" t="s">
        <v>896</v>
      </c>
      <c r="F162" s="6" t="s">
        <v>897</v>
      </c>
      <c r="G162" s="5" t="s">
        <v>898</v>
      </c>
      <c r="H162" s="5" t="s">
        <v>899</v>
      </c>
      <c r="I162" s="5" t="s">
        <v>900</v>
      </c>
      <c r="J162" s="8" t="s">
        <v>21</v>
      </c>
      <c r="K162" s="4"/>
      <c r="L162" s="5" t="s">
        <v>885</v>
      </c>
    </row>
    <row r="163" customFormat="false" ht="35.05" hidden="false" customHeight="false" outlineLevel="0" collapsed="false">
      <c r="A163" s="4" t="s">
        <v>0</v>
      </c>
      <c r="B163" s="5" t="s">
        <v>617</v>
      </c>
      <c r="C163" s="6" t="s">
        <v>618</v>
      </c>
      <c r="D163" s="7" t="s">
        <v>15</v>
      </c>
      <c r="E163" s="5" t="s">
        <v>901</v>
      </c>
      <c r="F163" s="6" t="s">
        <v>902</v>
      </c>
      <c r="G163" s="5" t="s">
        <v>903</v>
      </c>
      <c r="H163" s="6" t="s">
        <v>904</v>
      </c>
      <c r="I163" s="5" t="s">
        <v>905</v>
      </c>
      <c r="J163" s="10" t="s">
        <v>56</v>
      </c>
      <c r="K163" s="4"/>
      <c r="L163" s="5" t="s">
        <v>906</v>
      </c>
    </row>
    <row r="164" customFormat="false" ht="29.85" hidden="false" customHeight="false" outlineLevel="0" collapsed="false">
      <c r="A164" s="4" t="s">
        <v>0</v>
      </c>
      <c r="B164" s="5" t="s">
        <v>617</v>
      </c>
      <c r="C164" s="6" t="s">
        <v>618</v>
      </c>
      <c r="D164" s="7" t="s">
        <v>15</v>
      </c>
      <c r="E164" s="5" t="s">
        <v>907</v>
      </c>
      <c r="F164" s="5" t="s">
        <v>908</v>
      </c>
      <c r="G164" s="5" t="s">
        <v>909</v>
      </c>
      <c r="H164" s="5" t="s">
        <v>805</v>
      </c>
      <c r="I164" s="5" t="s">
        <v>910</v>
      </c>
      <c r="J164" s="10" t="s">
        <v>56</v>
      </c>
      <c r="K164" s="4"/>
      <c r="L164" s="5" t="s">
        <v>906</v>
      </c>
    </row>
    <row r="165" customFormat="false" ht="29.85" hidden="false" customHeight="false" outlineLevel="0" collapsed="false">
      <c r="A165" s="4" t="s">
        <v>0</v>
      </c>
      <c r="B165" s="5" t="s">
        <v>617</v>
      </c>
      <c r="C165" s="6" t="s">
        <v>618</v>
      </c>
      <c r="D165" s="7" t="s">
        <v>15</v>
      </c>
      <c r="E165" s="5" t="s">
        <v>911</v>
      </c>
      <c r="F165" s="6" t="s">
        <v>912</v>
      </c>
      <c r="G165" s="5" t="s">
        <v>913</v>
      </c>
      <c r="H165" s="6" t="s">
        <v>914</v>
      </c>
      <c r="I165" s="6" t="s">
        <v>915</v>
      </c>
      <c r="J165" s="8" t="s">
        <v>21</v>
      </c>
      <c r="K165" s="4"/>
      <c r="L165" s="5" t="s">
        <v>906</v>
      </c>
    </row>
    <row r="166" customFormat="false" ht="44" hidden="false" customHeight="false" outlineLevel="0" collapsed="false">
      <c r="A166" s="4" t="s">
        <v>0</v>
      </c>
      <c r="B166" s="5" t="s">
        <v>617</v>
      </c>
      <c r="C166" s="6" t="s">
        <v>618</v>
      </c>
      <c r="D166" s="7" t="s">
        <v>15</v>
      </c>
      <c r="E166" s="5" t="s">
        <v>916</v>
      </c>
      <c r="F166" s="6" t="s">
        <v>917</v>
      </c>
      <c r="G166" s="5" t="s">
        <v>918</v>
      </c>
      <c r="H166" s="5" t="s">
        <v>919</v>
      </c>
      <c r="I166" s="5" t="s">
        <v>920</v>
      </c>
      <c r="J166" s="10" t="s">
        <v>56</v>
      </c>
      <c r="K166" s="4"/>
      <c r="L166" s="5" t="s">
        <v>906</v>
      </c>
    </row>
    <row r="167" customFormat="false" ht="15" hidden="false" customHeight="false" outlineLevel="0" collapsed="false">
      <c r="A167" s="16" t="s">
        <v>921</v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</row>
    <row r="168" customFormat="false" ht="41" hidden="false" customHeight="false" outlineLevel="0" collapsed="false">
      <c r="A168" s="4" t="s">
        <v>0</v>
      </c>
      <c r="B168" s="5" t="s">
        <v>922</v>
      </c>
      <c r="C168" s="6" t="s">
        <v>923</v>
      </c>
      <c r="D168" s="9" t="s">
        <v>29</v>
      </c>
      <c r="E168" s="5" t="s">
        <v>924</v>
      </c>
      <c r="F168" s="5" t="s">
        <v>925</v>
      </c>
      <c r="G168" s="5" t="s">
        <v>926</v>
      </c>
      <c r="H168" s="6" t="s">
        <v>927</v>
      </c>
      <c r="I168" s="5" t="s">
        <v>928</v>
      </c>
      <c r="J168" s="8" t="s">
        <v>21</v>
      </c>
      <c r="K168" s="4"/>
      <c r="L168" s="5" t="s">
        <v>929</v>
      </c>
    </row>
    <row r="169" customFormat="false" ht="44" hidden="false" customHeight="false" outlineLevel="0" collapsed="false">
      <c r="A169" s="4" t="s">
        <v>0</v>
      </c>
      <c r="B169" s="5" t="s">
        <v>922</v>
      </c>
      <c r="C169" s="6" t="s">
        <v>923</v>
      </c>
      <c r="D169" s="9" t="s">
        <v>29</v>
      </c>
      <c r="E169" s="5" t="s">
        <v>930</v>
      </c>
      <c r="F169" s="6" t="s">
        <v>931</v>
      </c>
      <c r="G169" s="5" t="s">
        <v>932</v>
      </c>
      <c r="H169" s="5" t="s">
        <v>933</v>
      </c>
      <c r="I169" s="5" t="s">
        <v>934</v>
      </c>
      <c r="J169" s="8" t="s">
        <v>21</v>
      </c>
      <c r="K169" s="4"/>
      <c r="L169" s="5" t="s">
        <v>935</v>
      </c>
    </row>
    <row r="170" customFormat="false" ht="29.85" hidden="false" customHeight="false" outlineLevel="0" collapsed="false">
      <c r="A170" s="4" t="s">
        <v>0</v>
      </c>
      <c r="B170" s="5" t="s">
        <v>922</v>
      </c>
      <c r="C170" s="6" t="s">
        <v>923</v>
      </c>
      <c r="D170" s="9" t="s">
        <v>29</v>
      </c>
      <c r="E170" s="5" t="s">
        <v>936</v>
      </c>
      <c r="F170" s="6" t="s">
        <v>937</v>
      </c>
      <c r="G170" s="5" t="s">
        <v>938</v>
      </c>
      <c r="H170" s="6" t="s">
        <v>939</v>
      </c>
      <c r="I170" s="6" t="s">
        <v>940</v>
      </c>
      <c r="J170" s="10" t="s">
        <v>56</v>
      </c>
      <c r="K170" s="4"/>
      <c r="L170" s="5" t="s">
        <v>941</v>
      </c>
    </row>
    <row r="171" customFormat="false" ht="44" hidden="false" customHeight="false" outlineLevel="0" collapsed="false">
      <c r="A171" s="4" t="s">
        <v>0</v>
      </c>
      <c r="B171" s="5" t="s">
        <v>922</v>
      </c>
      <c r="C171" s="6" t="s">
        <v>923</v>
      </c>
      <c r="D171" s="9" t="s">
        <v>29</v>
      </c>
      <c r="E171" s="5" t="s">
        <v>942</v>
      </c>
      <c r="F171" s="5" t="s">
        <v>943</v>
      </c>
      <c r="G171" s="5" t="s">
        <v>944</v>
      </c>
      <c r="H171" s="6" t="s">
        <v>945</v>
      </c>
      <c r="I171" s="5" t="s">
        <v>946</v>
      </c>
      <c r="J171" s="12" t="s">
        <v>160</v>
      </c>
      <c r="K171" s="4"/>
      <c r="L171" s="5" t="s">
        <v>947</v>
      </c>
    </row>
    <row r="172" customFormat="false" ht="44" hidden="false" customHeight="false" outlineLevel="0" collapsed="false">
      <c r="A172" s="4" t="s">
        <v>0</v>
      </c>
      <c r="B172" s="5" t="s">
        <v>922</v>
      </c>
      <c r="C172" s="6" t="s">
        <v>923</v>
      </c>
      <c r="D172" s="9" t="s">
        <v>29</v>
      </c>
      <c r="E172" s="5" t="s">
        <v>948</v>
      </c>
      <c r="F172" s="6" t="s">
        <v>949</v>
      </c>
      <c r="G172" s="5" t="s">
        <v>950</v>
      </c>
      <c r="H172" s="6" t="s">
        <v>951</v>
      </c>
      <c r="I172" s="6" t="s">
        <v>952</v>
      </c>
      <c r="J172" s="10" t="s">
        <v>56</v>
      </c>
      <c r="K172" s="4"/>
      <c r="L172" s="5" t="s">
        <v>953</v>
      </c>
    </row>
    <row r="173" customFormat="false" ht="15" hidden="false" customHeight="false" outlineLevel="0" collapsed="false">
      <c r="A173" s="17" t="s">
        <v>954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</row>
    <row r="174" customFormat="false" ht="44" hidden="false" customHeight="false" outlineLevel="0" collapsed="false">
      <c r="A174" s="4" t="s">
        <v>0</v>
      </c>
      <c r="B174" s="5" t="s">
        <v>955</v>
      </c>
      <c r="C174" s="6" t="s">
        <v>956</v>
      </c>
      <c r="D174" s="9" t="s">
        <v>29</v>
      </c>
      <c r="E174" s="5" t="s">
        <v>957</v>
      </c>
      <c r="F174" s="5" t="s">
        <v>958</v>
      </c>
      <c r="G174" s="5" t="s">
        <v>959</v>
      </c>
      <c r="H174" s="5" t="s">
        <v>960</v>
      </c>
      <c r="I174" s="5" t="s">
        <v>961</v>
      </c>
      <c r="J174" s="8" t="s">
        <v>21</v>
      </c>
      <c r="K174" s="4"/>
      <c r="L174" s="5" t="s">
        <v>962</v>
      </c>
    </row>
    <row r="175" customFormat="false" ht="44" hidden="false" customHeight="false" outlineLevel="0" collapsed="false">
      <c r="A175" s="4" t="s">
        <v>0</v>
      </c>
      <c r="B175" s="5" t="s">
        <v>955</v>
      </c>
      <c r="C175" s="6" t="s">
        <v>956</v>
      </c>
      <c r="D175" s="9" t="s">
        <v>29</v>
      </c>
      <c r="E175" s="5" t="s">
        <v>963</v>
      </c>
      <c r="F175" s="6" t="s">
        <v>964</v>
      </c>
      <c r="G175" s="5" t="s">
        <v>965</v>
      </c>
      <c r="H175" s="5" t="s">
        <v>966</v>
      </c>
      <c r="I175" s="5" t="s">
        <v>967</v>
      </c>
      <c r="J175" s="8" t="s">
        <v>21</v>
      </c>
      <c r="K175" s="4"/>
      <c r="L175" s="5" t="s">
        <v>968</v>
      </c>
    </row>
    <row r="176" customFormat="false" ht="44" hidden="false" customHeight="false" outlineLevel="0" collapsed="false">
      <c r="A176" s="4" t="s">
        <v>0</v>
      </c>
      <c r="B176" s="5" t="s">
        <v>955</v>
      </c>
      <c r="C176" s="6" t="s">
        <v>956</v>
      </c>
      <c r="D176" s="9" t="s">
        <v>29</v>
      </c>
      <c r="E176" s="5" t="s">
        <v>969</v>
      </c>
      <c r="F176" s="5" t="s">
        <v>970</v>
      </c>
      <c r="G176" s="5" t="s">
        <v>971</v>
      </c>
      <c r="H176" s="5" t="s">
        <v>972</v>
      </c>
      <c r="I176" s="5" t="s">
        <v>973</v>
      </c>
      <c r="J176" s="12" t="s">
        <v>160</v>
      </c>
      <c r="K176" s="4"/>
      <c r="L176" s="5" t="s">
        <v>974</v>
      </c>
    </row>
    <row r="177" customFormat="false" ht="44" hidden="false" customHeight="false" outlineLevel="0" collapsed="false">
      <c r="A177" s="4" t="s">
        <v>0</v>
      </c>
      <c r="B177" s="5" t="s">
        <v>955</v>
      </c>
      <c r="C177" s="6" t="s">
        <v>956</v>
      </c>
      <c r="D177" s="9" t="s">
        <v>29</v>
      </c>
      <c r="E177" s="5" t="s">
        <v>975</v>
      </c>
      <c r="F177" s="5" t="s">
        <v>976</v>
      </c>
      <c r="G177" s="5" t="s">
        <v>977</v>
      </c>
      <c r="H177" s="5" t="s">
        <v>978</v>
      </c>
      <c r="I177" s="6" t="s">
        <v>979</v>
      </c>
      <c r="J177" s="10" t="s">
        <v>56</v>
      </c>
      <c r="K177" s="4"/>
      <c r="L177" s="5" t="s">
        <v>980</v>
      </c>
    </row>
    <row r="178" customFormat="false" ht="58.2" hidden="false" customHeight="false" outlineLevel="0" collapsed="false">
      <c r="A178" s="4" t="s">
        <v>0</v>
      </c>
      <c r="B178" s="5" t="s">
        <v>955</v>
      </c>
      <c r="C178" s="6" t="s">
        <v>956</v>
      </c>
      <c r="D178" s="9" t="s">
        <v>29</v>
      </c>
      <c r="E178" s="5" t="s">
        <v>981</v>
      </c>
      <c r="F178" s="6" t="s">
        <v>982</v>
      </c>
      <c r="G178" s="5" t="s">
        <v>983</v>
      </c>
      <c r="H178" s="6" t="s">
        <v>984</v>
      </c>
      <c r="I178" s="5" t="s">
        <v>985</v>
      </c>
      <c r="J178" s="12" t="s">
        <v>160</v>
      </c>
      <c r="K178" s="4"/>
      <c r="L178" s="5" t="s">
        <v>986</v>
      </c>
    </row>
    <row r="179" customFormat="false" ht="29.85" hidden="false" customHeight="false" outlineLevel="0" collapsed="false">
      <c r="A179" s="4" t="s">
        <v>0</v>
      </c>
      <c r="B179" s="5" t="s">
        <v>955</v>
      </c>
      <c r="C179" s="6" t="s">
        <v>956</v>
      </c>
      <c r="D179" s="9" t="s">
        <v>29</v>
      </c>
      <c r="E179" s="5" t="s">
        <v>987</v>
      </c>
      <c r="F179" s="6" t="s">
        <v>988</v>
      </c>
      <c r="G179" s="5" t="s">
        <v>989</v>
      </c>
      <c r="H179" s="5" t="s">
        <v>990</v>
      </c>
      <c r="I179" s="5" t="s">
        <v>991</v>
      </c>
      <c r="J179" s="12" t="s">
        <v>160</v>
      </c>
      <c r="K179" s="4"/>
      <c r="L179" s="5" t="s">
        <v>992</v>
      </c>
    </row>
    <row r="180" customFormat="false" ht="15" hidden="false" customHeight="false" outlineLevel="0" collapsed="false">
      <c r="A180" s="17" t="s">
        <v>993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</row>
    <row r="181" customFormat="false" ht="44" hidden="false" customHeight="false" outlineLevel="0" collapsed="false">
      <c r="A181" s="4" t="s">
        <v>0</v>
      </c>
      <c r="B181" s="5" t="s">
        <v>994</v>
      </c>
      <c r="C181" s="6" t="s">
        <v>995</v>
      </c>
      <c r="D181" s="9" t="s">
        <v>29</v>
      </c>
      <c r="E181" s="5" t="s">
        <v>996</v>
      </c>
      <c r="F181" s="5" t="s">
        <v>997</v>
      </c>
      <c r="G181" s="5" t="s">
        <v>998</v>
      </c>
      <c r="H181" s="5" t="s">
        <v>999</v>
      </c>
      <c r="I181" s="5" t="s">
        <v>1000</v>
      </c>
      <c r="J181" s="8" t="s">
        <v>21</v>
      </c>
      <c r="K181" s="4"/>
      <c r="L181" s="5" t="s">
        <v>1001</v>
      </c>
    </row>
    <row r="182" customFormat="false" ht="44" hidden="false" customHeight="false" outlineLevel="0" collapsed="false">
      <c r="A182" s="4" t="s">
        <v>0</v>
      </c>
      <c r="B182" s="5" t="s">
        <v>994</v>
      </c>
      <c r="C182" s="6" t="s">
        <v>995</v>
      </c>
      <c r="D182" s="9" t="s">
        <v>29</v>
      </c>
      <c r="E182" s="5" t="s">
        <v>1002</v>
      </c>
      <c r="F182" s="5" t="s">
        <v>1003</v>
      </c>
      <c r="G182" s="5" t="s">
        <v>1004</v>
      </c>
      <c r="H182" s="6" t="s">
        <v>1005</v>
      </c>
      <c r="I182" s="5" t="s">
        <v>1006</v>
      </c>
      <c r="J182" s="12" t="s">
        <v>160</v>
      </c>
      <c r="K182" s="4"/>
      <c r="L182" s="5" t="s">
        <v>1007</v>
      </c>
    </row>
    <row r="183" customFormat="false" ht="29.85" hidden="false" customHeight="false" outlineLevel="0" collapsed="false">
      <c r="A183" s="4" t="s">
        <v>0</v>
      </c>
      <c r="B183" s="5" t="s">
        <v>994</v>
      </c>
      <c r="C183" s="6" t="s">
        <v>995</v>
      </c>
      <c r="D183" s="9" t="s">
        <v>29</v>
      </c>
      <c r="E183" s="5" t="s">
        <v>1008</v>
      </c>
      <c r="F183" s="5" t="s">
        <v>1009</v>
      </c>
      <c r="G183" s="5" t="s">
        <v>1010</v>
      </c>
      <c r="H183" s="6" t="s">
        <v>1011</v>
      </c>
      <c r="I183" s="5" t="s">
        <v>1012</v>
      </c>
      <c r="J183" s="12" t="s">
        <v>160</v>
      </c>
      <c r="K183" s="4"/>
      <c r="L183" s="5" t="s">
        <v>1013</v>
      </c>
    </row>
    <row r="184" customFormat="false" ht="44" hidden="false" customHeight="false" outlineLevel="0" collapsed="false">
      <c r="A184" s="4" t="s">
        <v>0</v>
      </c>
      <c r="B184" s="5" t="s">
        <v>994</v>
      </c>
      <c r="C184" s="6" t="s">
        <v>995</v>
      </c>
      <c r="D184" s="9" t="s">
        <v>29</v>
      </c>
      <c r="E184" s="5" t="s">
        <v>1014</v>
      </c>
      <c r="F184" s="5" t="s">
        <v>1015</v>
      </c>
      <c r="G184" s="5" t="s">
        <v>1016</v>
      </c>
      <c r="H184" s="6" t="s">
        <v>1017</v>
      </c>
      <c r="I184" s="5" t="s">
        <v>1018</v>
      </c>
      <c r="J184" s="12" t="s">
        <v>160</v>
      </c>
      <c r="K184" s="4"/>
      <c r="L184" s="5" t="s">
        <v>1019</v>
      </c>
    </row>
    <row r="185" customFormat="false" ht="29.85" hidden="false" customHeight="false" outlineLevel="0" collapsed="false">
      <c r="A185" s="4" t="s">
        <v>0</v>
      </c>
      <c r="B185" s="5" t="s">
        <v>994</v>
      </c>
      <c r="C185" s="6" t="s">
        <v>995</v>
      </c>
      <c r="D185" s="9" t="s">
        <v>29</v>
      </c>
      <c r="E185" s="5" t="s">
        <v>1020</v>
      </c>
      <c r="F185" s="6" t="s">
        <v>1021</v>
      </c>
      <c r="G185" s="5" t="s">
        <v>1022</v>
      </c>
      <c r="H185" s="6" t="s">
        <v>1023</v>
      </c>
      <c r="I185" s="5" t="s">
        <v>1024</v>
      </c>
      <c r="J185" s="12" t="s">
        <v>160</v>
      </c>
      <c r="K185" s="4"/>
      <c r="L185" s="5" t="s">
        <v>1019</v>
      </c>
    </row>
    <row r="186" customFormat="false" ht="29.85" hidden="false" customHeight="false" outlineLevel="0" collapsed="false">
      <c r="A186" s="4" t="s">
        <v>0</v>
      </c>
      <c r="B186" s="5" t="s">
        <v>994</v>
      </c>
      <c r="C186" s="6" t="s">
        <v>995</v>
      </c>
      <c r="D186" s="9" t="s">
        <v>29</v>
      </c>
      <c r="E186" s="5" t="s">
        <v>1025</v>
      </c>
      <c r="F186" s="6" t="s">
        <v>1026</v>
      </c>
      <c r="G186" s="5" t="s">
        <v>1027</v>
      </c>
      <c r="H186" s="5" t="s">
        <v>1028</v>
      </c>
      <c r="I186" s="5" t="s">
        <v>1029</v>
      </c>
      <c r="J186" s="8" t="s">
        <v>21</v>
      </c>
      <c r="K186" s="4"/>
      <c r="L186" s="5" t="s">
        <v>1030</v>
      </c>
    </row>
    <row r="187" customFormat="false" ht="29.85" hidden="false" customHeight="false" outlineLevel="0" collapsed="false">
      <c r="A187" s="4" t="s">
        <v>0</v>
      </c>
      <c r="B187" s="5" t="s">
        <v>994</v>
      </c>
      <c r="C187" s="6" t="s">
        <v>995</v>
      </c>
      <c r="D187" s="9" t="s">
        <v>29</v>
      </c>
      <c r="E187" s="5" t="s">
        <v>1031</v>
      </c>
      <c r="F187" s="5" t="s">
        <v>1032</v>
      </c>
      <c r="G187" s="5" t="s">
        <v>1033</v>
      </c>
      <c r="H187" s="6" t="s">
        <v>1034</v>
      </c>
      <c r="I187" s="6" t="s">
        <v>1035</v>
      </c>
      <c r="J187" s="10" t="s">
        <v>56</v>
      </c>
      <c r="K187" s="4"/>
      <c r="L187" s="5" t="s">
        <v>1036</v>
      </c>
    </row>
    <row r="188" customFormat="false" ht="44" hidden="false" customHeight="false" outlineLevel="0" collapsed="false">
      <c r="A188" s="4" t="s">
        <v>0</v>
      </c>
      <c r="B188" s="5" t="s">
        <v>994</v>
      </c>
      <c r="C188" s="6" t="s">
        <v>995</v>
      </c>
      <c r="D188" s="9" t="s">
        <v>29</v>
      </c>
      <c r="E188" s="5" t="s">
        <v>1037</v>
      </c>
      <c r="F188" s="6" t="s">
        <v>1038</v>
      </c>
      <c r="G188" s="5" t="s">
        <v>1039</v>
      </c>
      <c r="H188" s="5" t="s">
        <v>1040</v>
      </c>
      <c r="I188" s="6" t="s">
        <v>952</v>
      </c>
      <c r="J188" s="10" t="s">
        <v>56</v>
      </c>
      <c r="K188" s="4"/>
      <c r="L188" s="5" t="s">
        <v>1041</v>
      </c>
    </row>
    <row r="189" customFormat="false" ht="44" hidden="false" customHeight="false" outlineLevel="0" collapsed="false">
      <c r="A189" s="4" t="s">
        <v>0</v>
      </c>
      <c r="B189" s="5" t="s">
        <v>994</v>
      </c>
      <c r="C189" s="6" t="s">
        <v>995</v>
      </c>
      <c r="D189" s="9" t="s">
        <v>29</v>
      </c>
      <c r="E189" s="5" t="s">
        <v>1042</v>
      </c>
      <c r="F189" s="6" t="s">
        <v>1043</v>
      </c>
      <c r="G189" s="5" t="s">
        <v>1044</v>
      </c>
      <c r="H189" s="6" t="s">
        <v>1045</v>
      </c>
      <c r="I189" s="5" t="s">
        <v>1046</v>
      </c>
      <c r="J189" s="12" t="s">
        <v>160</v>
      </c>
      <c r="K189" s="4"/>
      <c r="L189" s="5" t="s">
        <v>1047</v>
      </c>
    </row>
    <row r="190" customFormat="false" ht="44" hidden="false" customHeight="false" outlineLevel="0" collapsed="false">
      <c r="A190" s="4" t="s">
        <v>0</v>
      </c>
      <c r="B190" s="5" t="s">
        <v>994</v>
      </c>
      <c r="C190" s="6" t="s">
        <v>995</v>
      </c>
      <c r="D190" s="9" t="s">
        <v>29</v>
      </c>
      <c r="E190" s="5" t="s">
        <v>1048</v>
      </c>
      <c r="F190" s="6" t="s">
        <v>1049</v>
      </c>
      <c r="G190" s="5" t="s">
        <v>1050</v>
      </c>
      <c r="H190" s="6" t="s">
        <v>1051</v>
      </c>
      <c r="I190" s="5" t="s">
        <v>1052</v>
      </c>
      <c r="J190" s="12" t="s">
        <v>160</v>
      </c>
      <c r="K190" s="4"/>
      <c r="L190" s="5" t="s">
        <v>1053</v>
      </c>
    </row>
    <row r="191" customFormat="false" ht="44" hidden="false" customHeight="false" outlineLevel="0" collapsed="false">
      <c r="A191" s="4" t="s">
        <v>0</v>
      </c>
      <c r="B191" s="5" t="s">
        <v>994</v>
      </c>
      <c r="C191" s="6" t="s">
        <v>995</v>
      </c>
      <c r="D191" s="9" t="s">
        <v>29</v>
      </c>
      <c r="E191" s="5" t="s">
        <v>1054</v>
      </c>
      <c r="F191" s="5" t="s">
        <v>1055</v>
      </c>
      <c r="G191" s="5" t="s">
        <v>1056</v>
      </c>
      <c r="H191" s="6" t="s">
        <v>1057</v>
      </c>
      <c r="I191" s="5" t="s">
        <v>1058</v>
      </c>
      <c r="J191" s="12" t="s">
        <v>160</v>
      </c>
      <c r="K191" s="4"/>
      <c r="L191" s="5" t="s">
        <v>1059</v>
      </c>
    </row>
    <row r="192" customFormat="false" ht="58.2" hidden="false" customHeight="false" outlineLevel="0" collapsed="false">
      <c r="A192" s="4" t="s">
        <v>0</v>
      </c>
      <c r="B192" s="5" t="s">
        <v>994</v>
      </c>
      <c r="C192" s="6" t="s">
        <v>995</v>
      </c>
      <c r="D192" s="9" t="s">
        <v>29</v>
      </c>
      <c r="E192" s="5" t="s">
        <v>1060</v>
      </c>
      <c r="F192" s="5" t="s">
        <v>1061</v>
      </c>
      <c r="G192" s="5" t="s">
        <v>1062</v>
      </c>
      <c r="H192" s="5" t="s">
        <v>1063</v>
      </c>
      <c r="I192" s="5" t="s">
        <v>1064</v>
      </c>
      <c r="J192" s="12" t="s">
        <v>160</v>
      </c>
      <c r="K192" s="4"/>
      <c r="L192" s="5" t="s">
        <v>1065</v>
      </c>
    </row>
    <row r="193" customFormat="false" ht="29.85" hidden="false" customHeight="false" outlineLevel="0" collapsed="false">
      <c r="A193" s="4" t="s">
        <v>0</v>
      </c>
      <c r="B193" s="5" t="s">
        <v>994</v>
      </c>
      <c r="C193" s="6" t="s">
        <v>995</v>
      </c>
      <c r="D193" s="9" t="s">
        <v>29</v>
      </c>
      <c r="E193" s="5" t="s">
        <v>1066</v>
      </c>
      <c r="F193" s="5" t="s">
        <v>1067</v>
      </c>
      <c r="G193" s="5" t="s">
        <v>1068</v>
      </c>
      <c r="H193" s="5" t="s">
        <v>1069</v>
      </c>
      <c r="I193" s="5" t="s">
        <v>1070</v>
      </c>
      <c r="J193" s="12" t="s">
        <v>160</v>
      </c>
      <c r="K193" s="4"/>
      <c r="L193" s="5" t="s">
        <v>1071</v>
      </c>
    </row>
    <row r="194" customFormat="false" ht="44" hidden="false" customHeight="false" outlineLevel="0" collapsed="false">
      <c r="A194" s="4" t="s">
        <v>0</v>
      </c>
      <c r="B194" s="5" t="s">
        <v>994</v>
      </c>
      <c r="C194" s="6" t="s">
        <v>995</v>
      </c>
      <c r="D194" s="9" t="s">
        <v>29</v>
      </c>
      <c r="E194" s="5" t="s">
        <v>1072</v>
      </c>
      <c r="F194" s="6" t="s">
        <v>1073</v>
      </c>
      <c r="G194" s="5" t="s">
        <v>1074</v>
      </c>
      <c r="H194" s="6" t="s">
        <v>1075</v>
      </c>
      <c r="I194" s="6" t="s">
        <v>1076</v>
      </c>
      <c r="J194" s="10" t="s">
        <v>56</v>
      </c>
      <c r="K194" s="4"/>
      <c r="L194" s="5" t="s">
        <v>1077</v>
      </c>
    </row>
    <row r="195" customFormat="false" ht="44" hidden="false" customHeight="false" outlineLevel="0" collapsed="false">
      <c r="A195" s="4" t="s">
        <v>0</v>
      </c>
      <c r="B195" s="5" t="s">
        <v>994</v>
      </c>
      <c r="C195" s="6" t="s">
        <v>995</v>
      </c>
      <c r="D195" s="9" t="s">
        <v>29</v>
      </c>
      <c r="E195" s="5" t="s">
        <v>1078</v>
      </c>
      <c r="F195" s="5" t="s">
        <v>1079</v>
      </c>
      <c r="G195" s="5" t="s">
        <v>1080</v>
      </c>
      <c r="H195" s="6" t="s">
        <v>1081</v>
      </c>
      <c r="I195" s="5" t="s">
        <v>1082</v>
      </c>
      <c r="J195" s="12" t="s">
        <v>160</v>
      </c>
      <c r="K195" s="4"/>
      <c r="L195" s="5" t="s">
        <v>1083</v>
      </c>
    </row>
    <row r="196" customFormat="false" ht="44" hidden="false" customHeight="false" outlineLevel="0" collapsed="false">
      <c r="A196" s="4" t="s">
        <v>0</v>
      </c>
      <c r="B196" s="5" t="s">
        <v>994</v>
      </c>
      <c r="C196" s="6" t="s">
        <v>995</v>
      </c>
      <c r="D196" s="9" t="s">
        <v>29</v>
      </c>
      <c r="E196" s="5" t="s">
        <v>1084</v>
      </c>
      <c r="F196" s="5" t="s">
        <v>1085</v>
      </c>
      <c r="G196" s="5" t="s">
        <v>1086</v>
      </c>
      <c r="H196" s="5" t="s">
        <v>1087</v>
      </c>
      <c r="I196" s="5" t="s">
        <v>1088</v>
      </c>
      <c r="J196" s="12" t="s">
        <v>160</v>
      </c>
      <c r="K196" s="4"/>
      <c r="L196" s="5" t="s">
        <v>1089</v>
      </c>
    </row>
    <row r="197" customFormat="false" ht="15" hidden="false" customHeight="false" outlineLevel="0" collapsed="false">
      <c r="A197" s="18" t="s">
        <v>1090</v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</row>
    <row r="198" customFormat="false" ht="58.2" hidden="false" customHeight="false" outlineLevel="0" collapsed="false">
      <c r="A198" s="4" t="s">
        <v>0</v>
      </c>
      <c r="B198" s="5" t="s">
        <v>1091</v>
      </c>
      <c r="C198" s="6" t="s">
        <v>1092</v>
      </c>
      <c r="D198" s="9" t="s">
        <v>29</v>
      </c>
      <c r="E198" s="5" t="s">
        <v>1093</v>
      </c>
      <c r="F198" s="6" t="s">
        <v>1094</v>
      </c>
      <c r="G198" s="5" t="s">
        <v>1095</v>
      </c>
      <c r="H198" s="5" t="s">
        <v>1096</v>
      </c>
      <c r="I198" s="5" t="s">
        <v>1097</v>
      </c>
      <c r="J198" s="12" t="s">
        <v>160</v>
      </c>
      <c r="K198" s="4"/>
      <c r="L198" s="5" t="s">
        <v>1098</v>
      </c>
    </row>
    <row r="199" customFormat="false" ht="58.2" hidden="false" customHeight="false" outlineLevel="0" collapsed="false">
      <c r="A199" s="4" t="s">
        <v>0</v>
      </c>
      <c r="B199" s="5" t="s">
        <v>1091</v>
      </c>
      <c r="C199" s="6" t="s">
        <v>1092</v>
      </c>
      <c r="D199" s="9" t="s">
        <v>29</v>
      </c>
      <c r="E199" s="5" t="s">
        <v>1099</v>
      </c>
      <c r="F199" s="6" t="s">
        <v>1100</v>
      </c>
      <c r="G199" s="5" t="s">
        <v>1101</v>
      </c>
      <c r="H199" s="5" t="s">
        <v>1102</v>
      </c>
      <c r="I199" s="5" t="s">
        <v>1103</v>
      </c>
      <c r="J199" s="12" t="s">
        <v>160</v>
      </c>
      <c r="K199" s="4"/>
      <c r="L199" s="5" t="s">
        <v>1104</v>
      </c>
    </row>
    <row r="200" customFormat="false" ht="15" hidden="false" customHeight="false" outlineLevel="0" collapsed="false">
      <c r="A200" s="19" t="s">
        <v>1105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</row>
    <row r="201" customFormat="false" ht="44" hidden="false" customHeight="false" outlineLevel="0" collapsed="false">
      <c r="A201" s="4" t="s">
        <v>0</v>
      </c>
      <c r="B201" s="5" t="s">
        <v>1106</v>
      </c>
      <c r="C201" s="6" t="s">
        <v>1107</v>
      </c>
      <c r="D201" s="9" t="s">
        <v>29</v>
      </c>
      <c r="E201" s="5" t="s">
        <v>1108</v>
      </c>
      <c r="F201" s="6" t="s">
        <v>1109</v>
      </c>
      <c r="G201" s="5" t="s">
        <v>1110</v>
      </c>
      <c r="H201" s="6" t="s">
        <v>1111</v>
      </c>
      <c r="I201" s="5" t="s">
        <v>1112</v>
      </c>
      <c r="J201" s="12" t="s">
        <v>160</v>
      </c>
      <c r="K201" s="4"/>
      <c r="L201" s="5" t="s">
        <v>1113</v>
      </c>
    </row>
    <row r="202" customFormat="false" ht="44" hidden="false" customHeight="false" outlineLevel="0" collapsed="false">
      <c r="A202" s="4" t="s">
        <v>0</v>
      </c>
      <c r="B202" s="5" t="s">
        <v>1106</v>
      </c>
      <c r="C202" s="6" t="s">
        <v>1107</v>
      </c>
      <c r="D202" s="9" t="s">
        <v>29</v>
      </c>
      <c r="E202" s="5" t="s">
        <v>1114</v>
      </c>
      <c r="F202" s="6" t="s">
        <v>1115</v>
      </c>
      <c r="G202" s="5" t="s">
        <v>1116</v>
      </c>
      <c r="H202" s="5" t="s">
        <v>1117</v>
      </c>
      <c r="I202" s="5" t="s">
        <v>1118</v>
      </c>
      <c r="J202" s="12" t="s">
        <v>160</v>
      </c>
      <c r="K202" s="4"/>
      <c r="L202" s="5" t="s">
        <v>1119</v>
      </c>
    </row>
    <row r="203" customFormat="false" ht="29.85" hidden="false" customHeight="false" outlineLevel="0" collapsed="false">
      <c r="A203" s="4" t="s">
        <v>0</v>
      </c>
      <c r="B203" s="5" t="s">
        <v>1106</v>
      </c>
      <c r="C203" s="6" t="s">
        <v>1107</v>
      </c>
      <c r="D203" s="9" t="s">
        <v>29</v>
      </c>
      <c r="E203" s="5" t="s">
        <v>1120</v>
      </c>
      <c r="F203" s="6" t="s">
        <v>1121</v>
      </c>
      <c r="G203" s="5" t="s">
        <v>1122</v>
      </c>
      <c r="H203" s="6" t="s">
        <v>1123</v>
      </c>
      <c r="I203" s="5" t="s">
        <v>1124</v>
      </c>
      <c r="J203" s="12" t="s">
        <v>160</v>
      </c>
      <c r="K203" s="4"/>
      <c r="L203" s="5" t="s">
        <v>1104</v>
      </c>
    </row>
    <row r="204" customFormat="false" ht="29.85" hidden="false" customHeight="false" outlineLevel="0" collapsed="false">
      <c r="A204" s="4" t="s">
        <v>0</v>
      </c>
      <c r="B204" s="5" t="s">
        <v>1106</v>
      </c>
      <c r="C204" s="6" t="s">
        <v>1107</v>
      </c>
      <c r="D204" s="9" t="s">
        <v>29</v>
      </c>
      <c r="E204" s="5" t="s">
        <v>1125</v>
      </c>
      <c r="F204" s="6" t="s">
        <v>1126</v>
      </c>
      <c r="G204" s="5" t="s">
        <v>1127</v>
      </c>
      <c r="H204" s="6" t="s">
        <v>1128</v>
      </c>
      <c r="I204" s="6" t="s">
        <v>1129</v>
      </c>
      <c r="J204" s="10" t="s">
        <v>56</v>
      </c>
      <c r="K204" s="4"/>
      <c r="L204" s="5" t="s">
        <v>615</v>
      </c>
    </row>
    <row r="205" customFormat="false" ht="15" hidden="false" customHeight="false" outlineLevel="0" collapsed="false">
      <c r="A205" s="20" t="s">
        <v>1130</v>
      </c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</row>
    <row r="206" customFormat="false" ht="29.85" hidden="false" customHeight="false" outlineLevel="0" collapsed="false">
      <c r="A206" s="4" t="s">
        <v>0</v>
      </c>
      <c r="B206" s="5" t="s">
        <v>1131</v>
      </c>
      <c r="C206" s="6" t="s">
        <v>1132</v>
      </c>
      <c r="D206" s="7" t="s">
        <v>15</v>
      </c>
      <c r="E206" s="5" t="s">
        <v>1133</v>
      </c>
      <c r="F206" s="6" t="s">
        <v>1134</v>
      </c>
      <c r="G206" s="5" t="s">
        <v>1135</v>
      </c>
      <c r="H206" s="5" t="s">
        <v>1136</v>
      </c>
      <c r="I206" s="6" t="s">
        <v>1137</v>
      </c>
      <c r="J206" s="12" t="s">
        <v>160</v>
      </c>
      <c r="K206" s="4"/>
      <c r="L206" s="5" t="s">
        <v>1138</v>
      </c>
    </row>
    <row r="207" customFormat="false" ht="44" hidden="false" customHeight="false" outlineLevel="0" collapsed="false">
      <c r="A207" s="4" t="s">
        <v>0</v>
      </c>
      <c r="B207" s="5" t="s">
        <v>1131</v>
      </c>
      <c r="C207" s="6" t="s">
        <v>1132</v>
      </c>
      <c r="D207" s="7" t="s">
        <v>15</v>
      </c>
      <c r="E207" s="5" t="s">
        <v>1139</v>
      </c>
      <c r="F207" s="6" t="s">
        <v>1140</v>
      </c>
      <c r="G207" s="5" t="s">
        <v>1141</v>
      </c>
      <c r="H207" s="6" t="s">
        <v>1142</v>
      </c>
      <c r="I207" s="5" t="s">
        <v>1143</v>
      </c>
      <c r="J207" s="8" t="s">
        <v>21</v>
      </c>
      <c r="K207" s="4"/>
      <c r="L207" s="5" t="s">
        <v>1144</v>
      </c>
    </row>
    <row r="208" customFormat="false" ht="44" hidden="false" customHeight="false" outlineLevel="0" collapsed="false">
      <c r="A208" s="4" t="s">
        <v>0</v>
      </c>
      <c r="B208" s="5" t="s">
        <v>1131</v>
      </c>
      <c r="C208" s="6" t="s">
        <v>1132</v>
      </c>
      <c r="D208" s="7" t="s">
        <v>15</v>
      </c>
      <c r="E208" s="5" t="s">
        <v>1145</v>
      </c>
      <c r="F208" s="6" t="s">
        <v>1146</v>
      </c>
      <c r="G208" s="5" t="s">
        <v>1147</v>
      </c>
      <c r="H208" s="6" t="s">
        <v>1148</v>
      </c>
      <c r="I208" s="6" t="s">
        <v>1149</v>
      </c>
      <c r="J208" s="8" t="s">
        <v>21</v>
      </c>
      <c r="K208" s="4"/>
      <c r="L208" s="5" t="s">
        <v>1150</v>
      </c>
    </row>
    <row r="209" customFormat="false" ht="29.85" hidden="false" customHeight="false" outlineLevel="0" collapsed="false">
      <c r="A209" s="4" t="s">
        <v>0</v>
      </c>
      <c r="B209" s="5" t="s">
        <v>1131</v>
      </c>
      <c r="C209" s="6" t="s">
        <v>1132</v>
      </c>
      <c r="D209" s="7" t="s">
        <v>15</v>
      </c>
      <c r="E209" s="5" t="s">
        <v>1151</v>
      </c>
      <c r="F209" s="6" t="s">
        <v>1152</v>
      </c>
      <c r="G209" s="5" t="s">
        <v>1153</v>
      </c>
      <c r="H209" s="6" t="s">
        <v>1154</v>
      </c>
      <c r="I209" s="6" t="s">
        <v>1155</v>
      </c>
      <c r="J209" s="8" t="s">
        <v>21</v>
      </c>
      <c r="K209" s="4"/>
      <c r="L209" s="5" t="s">
        <v>1156</v>
      </c>
    </row>
    <row r="210" customFormat="false" ht="29.85" hidden="false" customHeight="false" outlineLevel="0" collapsed="false">
      <c r="A210" s="4" t="s">
        <v>0</v>
      </c>
      <c r="B210" s="5" t="s">
        <v>1131</v>
      </c>
      <c r="C210" s="6" t="s">
        <v>1132</v>
      </c>
      <c r="D210" s="7" t="s">
        <v>15</v>
      </c>
      <c r="E210" s="5" t="s">
        <v>1157</v>
      </c>
      <c r="F210" s="6" t="s">
        <v>1158</v>
      </c>
      <c r="G210" s="5" t="s">
        <v>1159</v>
      </c>
      <c r="H210" s="6" t="s">
        <v>1160</v>
      </c>
      <c r="I210" s="6" t="s">
        <v>1161</v>
      </c>
      <c r="J210" s="12" t="s">
        <v>160</v>
      </c>
      <c r="K210" s="4"/>
      <c r="L210" s="5" t="s">
        <v>1162</v>
      </c>
    </row>
    <row r="211" customFormat="false" ht="29.85" hidden="false" customHeight="false" outlineLevel="0" collapsed="false">
      <c r="A211" s="4" t="s">
        <v>0</v>
      </c>
      <c r="B211" s="5" t="s">
        <v>1131</v>
      </c>
      <c r="C211" s="6" t="s">
        <v>1132</v>
      </c>
      <c r="D211" s="7" t="s">
        <v>15</v>
      </c>
      <c r="E211" s="5" t="s">
        <v>1163</v>
      </c>
      <c r="F211" s="6" t="s">
        <v>1164</v>
      </c>
      <c r="G211" s="5" t="s">
        <v>1165</v>
      </c>
      <c r="H211" s="6" t="s">
        <v>1166</v>
      </c>
      <c r="I211" s="5" t="s">
        <v>1167</v>
      </c>
      <c r="J211" s="12" t="s">
        <v>160</v>
      </c>
      <c r="K211" s="4"/>
      <c r="L211" s="5" t="s">
        <v>1168</v>
      </c>
    </row>
    <row r="212" customFormat="false" ht="72.35" hidden="false" customHeight="false" outlineLevel="0" collapsed="false">
      <c r="A212" s="4" t="s">
        <v>0</v>
      </c>
      <c r="B212" s="5" t="s">
        <v>1131</v>
      </c>
      <c r="C212" s="6" t="s">
        <v>1132</v>
      </c>
      <c r="D212" s="7" t="s">
        <v>15</v>
      </c>
      <c r="E212" s="5" t="s">
        <v>1169</v>
      </c>
      <c r="F212" s="6" t="s">
        <v>1170</v>
      </c>
      <c r="G212" s="5" t="s">
        <v>1171</v>
      </c>
      <c r="H212" s="5" t="s">
        <v>1172</v>
      </c>
      <c r="I212" s="5" t="s">
        <v>1173</v>
      </c>
      <c r="J212" s="8" t="s">
        <v>21</v>
      </c>
      <c r="K212" s="4"/>
      <c r="L212" s="5" t="s">
        <v>1174</v>
      </c>
    </row>
    <row r="213" customFormat="false" ht="29.85" hidden="false" customHeight="false" outlineLevel="0" collapsed="false">
      <c r="A213" s="4" t="s">
        <v>0</v>
      </c>
      <c r="B213" s="5" t="s">
        <v>1131</v>
      </c>
      <c r="C213" s="6" t="s">
        <v>1132</v>
      </c>
      <c r="D213" s="7" t="s">
        <v>15</v>
      </c>
      <c r="E213" s="5" t="s">
        <v>1175</v>
      </c>
      <c r="F213" s="6" t="s">
        <v>1176</v>
      </c>
      <c r="G213" s="5" t="s">
        <v>1177</v>
      </c>
      <c r="H213" s="5" t="s">
        <v>1178</v>
      </c>
      <c r="I213" s="5" t="s">
        <v>1179</v>
      </c>
      <c r="J213" s="12" t="s">
        <v>160</v>
      </c>
      <c r="K213" s="4"/>
      <c r="L213" s="5" t="s">
        <v>493</v>
      </c>
    </row>
    <row r="214" customFormat="false" ht="44" hidden="false" customHeight="false" outlineLevel="0" collapsed="false">
      <c r="A214" s="4" t="s">
        <v>0</v>
      </c>
      <c r="B214" s="5" t="s">
        <v>1131</v>
      </c>
      <c r="C214" s="6" t="s">
        <v>1132</v>
      </c>
      <c r="D214" s="7" t="s">
        <v>15</v>
      </c>
      <c r="E214" s="5" t="s">
        <v>1180</v>
      </c>
      <c r="F214" s="6" t="s">
        <v>1181</v>
      </c>
      <c r="G214" s="5" t="s">
        <v>1182</v>
      </c>
      <c r="H214" s="6" t="s">
        <v>1183</v>
      </c>
      <c r="I214" s="6" t="s">
        <v>1184</v>
      </c>
      <c r="J214" s="12" t="s">
        <v>160</v>
      </c>
      <c r="K214" s="4"/>
      <c r="L214" s="5" t="s">
        <v>493</v>
      </c>
    </row>
    <row r="215" customFormat="false" ht="44" hidden="false" customHeight="false" outlineLevel="0" collapsed="false">
      <c r="A215" s="4" t="s">
        <v>0</v>
      </c>
      <c r="B215" s="5" t="s">
        <v>1131</v>
      </c>
      <c r="C215" s="6" t="s">
        <v>1132</v>
      </c>
      <c r="D215" s="7" t="s">
        <v>15</v>
      </c>
      <c r="E215" s="5" t="s">
        <v>1185</v>
      </c>
      <c r="F215" s="6" t="s">
        <v>1186</v>
      </c>
      <c r="G215" s="5" t="s">
        <v>1187</v>
      </c>
      <c r="H215" s="6" t="s">
        <v>1188</v>
      </c>
      <c r="I215" s="6" t="s">
        <v>1189</v>
      </c>
      <c r="J215" s="12" t="s">
        <v>160</v>
      </c>
      <c r="K215" s="4"/>
      <c r="L215" s="5" t="s">
        <v>493</v>
      </c>
    </row>
    <row r="216" customFormat="false" ht="41" hidden="false" customHeight="false" outlineLevel="0" collapsed="false">
      <c r="A216" s="4" t="s">
        <v>0</v>
      </c>
      <c r="B216" s="5" t="s">
        <v>1131</v>
      </c>
      <c r="C216" s="6" t="s">
        <v>1132</v>
      </c>
      <c r="D216" s="7" t="s">
        <v>15</v>
      </c>
      <c r="E216" s="5" t="s">
        <v>1190</v>
      </c>
      <c r="F216" s="6" t="s">
        <v>1191</v>
      </c>
      <c r="G216" s="5" t="s">
        <v>1192</v>
      </c>
      <c r="H216" s="6" t="s">
        <v>1193</v>
      </c>
      <c r="I216" s="5" t="s">
        <v>1194</v>
      </c>
      <c r="J216" s="8" t="s">
        <v>21</v>
      </c>
      <c r="K216" s="4"/>
      <c r="L216" s="5" t="s">
        <v>397</v>
      </c>
    </row>
    <row r="217" customFormat="false" ht="15" hidden="false" customHeight="false" outlineLevel="0" collapsed="false">
      <c r="A217" s="20" t="s">
        <v>1195</v>
      </c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</row>
    <row r="218" customFormat="false" ht="29.85" hidden="false" customHeight="false" outlineLevel="0" collapsed="false">
      <c r="A218" s="4" t="s">
        <v>0</v>
      </c>
      <c r="B218" s="5" t="s">
        <v>1196</v>
      </c>
      <c r="C218" s="6" t="s">
        <v>1197</v>
      </c>
      <c r="D218" s="7" t="s">
        <v>15</v>
      </c>
      <c r="E218" s="5" t="s">
        <v>1198</v>
      </c>
      <c r="F218" s="6" t="s">
        <v>1199</v>
      </c>
      <c r="G218" s="5" t="s">
        <v>1200</v>
      </c>
      <c r="H218" s="6" t="s">
        <v>1201</v>
      </c>
      <c r="I218" s="5" t="s">
        <v>1202</v>
      </c>
      <c r="J218" s="8" t="s">
        <v>21</v>
      </c>
      <c r="K218" s="4"/>
      <c r="L218" s="5" t="s">
        <v>1203</v>
      </c>
    </row>
    <row r="219" customFormat="false" ht="29.85" hidden="false" customHeight="false" outlineLevel="0" collapsed="false">
      <c r="A219" s="4" t="s">
        <v>0</v>
      </c>
      <c r="B219" s="5" t="s">
        <v>1196</v>
      </c>
      <c r="C219" s="6" t="s">
        <v>1197</v>
      </c>
      <c r="D219" s="7" t="s">
        <v>15</v>
      </c>
      <c r="E219" s="5" t="s">
        <v>1204</v>
      </c>
      <c r="F219" s="6" t="s">
        <v>1205</v>
      </c>
      <c r="G219" s="5" t="s">
        <v>1206</v>
      </c>
      <c r="H219" s="6" t="s">
        <v>1207</v>
      </c>
      <c r="I219" s="5" t="s">
        <v>1208</v>
      </c>
      <c r="J219" s="8" t="s">
        <v>21</v>
      </c>
      <c r="K219" s="4"/>
      <c r="L219" s="5" t="s">
        <v>1209</v>
      </c>
    </row>
    <row r="220" customFormat="false" ht="29.85" hidden="false" customHeight="false" outlineLevel="0" collapsed="false">
      <c r="A220" s="4" t="s">
        <v>0</v>
      </c>
      <c r="B220" s="5" t="s">
        <v>1196</v>
      </c>
      <c r="C220" s="6" t="s">
        <v>1197</v>
      </c>
      <c r="D220" s="7" t="s">
        <v>15</v>
      </c>
      <c r="E220" s="5" t="s">
        <v>1210</v>
      </c>
      <c r="F220" s="6" t="s">
        <v>1211</v>
      </c>
      <c r="G220" s="5" t="s">
        <v>1212</v>
      </c>
      <c r="H220" s="6" t="s">
        <v>1213</v>
      </c>
      <c r="I220" s="6" t="s">
        <v>1214</v>
      </c>
      <c r="J220" s="8" t="s">
        <v>21</v>
      </c>
      <c r="K220" s="4"/>
      <c r="L220" s="5" t="s">
        <v>1215</v>
      </c>
    </row>
    <row r="221" customFormat="false" ht="29.85" hidden="false" customHeight="false" outlineLevel="0" collapsed="false">
      <c r="A221" s="4" t="s">
        <v>0</v>
      </c>
      <c r="B221" s="5" t="s">
        <v>1196</v>
      </c>
      <c r="C221" s="6" t="s">
        <v>1197</v>
      </c>
      <c r="D221" s="7" t="s">
        <v>15</v>
      </c>
      <c r="E221" s="5" t="s">
        <v>1216</v>
      </c>
      <c r="F221" s="6" t="s">
        <v>1217</v>
      </c>
      <c r="G221" s="5" t="s">
        <v>1218</v>
      </c>
      <c r="H221" s="6" t="s">
        <v>1219</v>
      </c>
      <c r="I221" s="5" t="s">
        <v>1220</v>
      </c>
      <c r="J221" s="8" t="s">
        <v>21</v>
      </c>
      <c r="K221" s="4"/>
      <c r="L221" s="5" t="s">
        <v>1168</v>
      </c>
    </row>
    <row r="222" customFormat="false" ht="72.35" hidden="false" customHeight="false" outlineLevel="0" collapsed="false">
      <c r="A222" s="4" t="s">
        <v>0</v>
      </c>
      <c r="B222" s="5" t="s">
        <v>1196</v>
      </c>
      <c r="C222" s="6" t="s">
        <v>1197</v>
      </c>
      <c r="D222" s="9" t="s">
        <v>29</v>
      </c>
      <c r="E222" s="5" t="s">
        <v>1221</v>
      </c>
      <c r="F222" s="6" t="s">
        <v>1222</v>
      </c>
      <c r="G222" s="5" t="s">
        <v>1223</v>
      </c>
      <c r="H222" s="6" t="s">
        <v>1224</v>
      </c>
      <c r="I222" s="5" t="s">
        <v>1225</v>
      </c>
      <c r="J222" s="10" t="s">
        <v>56</v>
      </c>
      <c r="K222" s="4"/>
      <c r="L222" s="5" t="s">
        <v>1226</v>
      </c>
    </row>
    <row r="223" customFormat="false" ht="44" hidden="false" customHeight="false" outlineLevel="0" collapsed="false">
      <c r="A223" s="4" t="s">
        <v>0</v>
      </c>
      <c r="B223" s="5" t="s">
        <v>1196</v>
      </c>
      <c r="C223" s="6" t="s">
        <v>1197</v>
      </c>
      <c r="D223" s="9" t="s">
        <v>29</v>
      </c>
      <c r="E223" s="5" t="s">
        <v>1227</v>
      </c>
      <c r="F223" s="6" t="s">
        <v>1228</v>
      </c>
      <c r="G223" s="5" t="s">
        <v>1229</v>
      </c>
      <c r="H223" s="6" t="s">
        <v>1230</v>
      </c>
      <c r="I223" s="5" t="s">
        <v>1231</v>
      </c>
      <c r="J223" s="12" t="s">
        <v>160</v>
      </c>
      <c r="K223" s="4"/>
      <c r="L223" s="5" t="s">
        <v>370</v>
      </c>
    </row>
    <row r="224" customFormat="false" ht="15" hidden="false" customHeight="false" outlineLevel="0" collapsed="false">
      <c r="A224" s="21" t="s">
        <v>1232</v>
      </c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</row>
    <row r="225" customFormat="false" ht="58.2" hidden="false" customHeight="false" outlineLevel="0" collapsed="false">
      <c r="A225" s="4" t="s">
        <v>0</v>
      </c>
      <c r="B225" s="5" t="s">
        <v>1233</v>
      </c>
      <c r="C225" s="6" t="s">
        <v>1234</v>
      </c>
      <c r="D225" s="7" t="s">
        <v>15</v>
      </c>
      <c r="E225" s="5" t="s">
        <v>1235</v>
      </c>
      <c r="F225" s="6" t="s">
        <v>1236</v>
      </c>
      <c r="G225" s="5" t="s">
        <v>1237</v>
      </c>
      <c r="H225" s="6" t="s">
        <v>1238</v>
      </c>
      <c r="I225" s="6" t="s">
        <v>1239</v>
      </c>
      <c r="J225" s="12" t="s">
        <v>160</v>
      </c>
      <c r="K225" s="4" t="s">
        <v>1240</v>
      </c>
      <c r="L225" s="5" t="s">
        <v>1241</v>
      </c>
    </row>
    <row r="226" customFormat="false" ht="72.35" hidden="false" customHeight="false" outlineLevel="0" collapsed="false">
      <c r="A226" s="4" t="s">
        <v>0</v>
      </c>
      <c r="B226" s="5" t="s">
        <v>1233</v>
      </c>
      <c r="C226" s="6" t="s">
        <v>1234</v>
      </c>
      <c r="D226" s="7" t="s">
        <v>15</v>
      </c>
      <c r="E226" s="5" t="s">
        <v>1242</v>
      </c>
      <c r="F226" s="6" t="s">
        <v>1243</v>
      </c>
      <c r="G226" s="5" t="s">
        <v>1244</v>
      </c>
      <c r="H226" s="6" t="s">
        <v>1245</v>
      </c>
      <c r="I226" s="5" t="s">
        <v>1246</v>
      </c>
      <c r="J226" s="8" t="s">
        <v>21</v>
      </c>
      <c r="K226" s="4" t="s">
        <v>1240</v>
      </c>
      <c r="L226" s="5" t="s">
        <v>1247</v>
      </c>
    </row>
    <row r="227" customFormat="false" ht="44" hidden="false" customHeight="false" outlineLevel="0" collapsed="false">
      <c r="A227" s="4" t="s">
        <v>0</v>
      </c>
      <c r="B227" s="5" t="s">
        <v>1233</v>
      </c>
      <c r="C227" s="6" t="s">
        <v>1234</v>
      </c>
      <c r="D227" s="7" t="s">
        <v>15</v>
      </c>
      <c r="E227" s="5" t="s">
        <v>1248</v>
      </c>
      <c r="F227" s="6" t="s">
        <v>1249</v>
      </c>
      <c r="G227" s="5" t="s">
        <v>1250</v>
      </c>
      <c r="H227" s="6" t="s">
        <v>1251</v>
      </c>
      <c r="I227" s="5" t="s">
        <v>1252</v>
      </c>
      <c r="J227" s="12" t="s">
        <v>160</v>
      </c>
      <c r="K227" s="4" t="s">
        <v>1240</v>
      </c>
      <c r="L227" s="5" t="s">
        <v>1247</v>
      </c>
    </row>
    <row r="228" customFormat="false" ht="44" hidden="false" customHeight="false" outlineLevel="0" collapsed="false">
      <c r="A228" s="4" t="s">
        <v>0</v>
      </c>
      <c r="B228" s="5" t="s">
        <v>1233</v>
      </c>
      <c r="C228" s="6" t="s">
        <v>1234</v>
      </c>
      <c r="D228" s="7" t="s">
        <v>15</v>
      </c>
      <c r="E228" s="5" t="s">
        <v>1253</v>
      </c>
      <c r="F228" s="6" t="s">
        <v>1254</v>
      </c>
      <c r="G228" s="5" t="s">
        <v>1255</v>
      </c>
      <c r="H228" s="6" t="s">
        <v>1256</v>
      </c>
      <c r="I228" s="5" t="s">
        <v>1257</v>
      </c>
      <c r="J228" s="10" t="s">
        <v>56</v>
      </c>
      <c r="K228" s="4"/>
      <c r="L228" s="5" t="s">
        <v>1247</v>
      </c>
    </row>
    <row r="229" customFormat="false" ht="44" hidden="false" customHeight="false" outlineLevel="0" collapsed="false">
      <c r="A229" s="4" t="s">
        <v>0</v>
      </c>
      <c r="B229" s="5" t="s">
        <v>1233</v>
      </c>
      <c r="C229" s="6" t="s">
        <v>1234</v>
      </c>
      <c r="D229" s="7" t="s">
        <v>15</v>
      </c>
      <c r="E229" s="5" t="s">
        <v>1258</v>
      </c>
      <c r="F229" s="6" t="s">
        <v>1259</v>
      </c>
      <c r="G229" s="5" t="s">
        <v>1260</v>
      </c>
      <c r="H229" s="6" t="s">
        <v>1261</v>
      </c>
      <c r="I229" s="5" t="s">
        <v>1262</v>
      </c>
      <c r="J229" s="8" t="s">
        <v>21</v>
      </c>
      <c r="K229" s="4"/>
      <c r="L229" s="5" t="s">
        <v>1247</v>
      </c>
    </row>
    <row r="230" customFormat="false" ht="44" hidden="false" customHeight="false" outlineLevel="0" collapsed="false">
      <c r="A230" s="4" t="s">
        <v>0</v>
      </c>
      <c r="B230" s="5" t="s">
        <v>1233</v>
      </c>
      <c r="C230" s="6" t="s">
        <v>1234</v>
      </c>
      <c r="D230" s="7" t="s">
        <v>15</v>
      </c>
      <c r="E230" s="5" t="s">
        <v>1263</v>
      </c>
      <c r="F230" s="6" t="s">
        <v>1264</v>
      </c>
      <c r="G230" s="5" t="s">
        <v>1265</v>
      </c>
      <c r="H230" s="6" t="s">
        <v>1266</v>
      </c>
      <c r="I230" s="5" t="s">
        <v>1267</v>
      </c>
      <c r="J230" s="8" t="s">
        <v>21</v>
      </c>
      <c r="K230" s="4"/>
      <c r="L230" s="5" t="s">
        <v>1247</v>
      </c>
    </row>
    <row r="231" customFormat="false" ht="44" hidden="false" customHeight="false" outlineLevel="0" collapsed="false">
      <c r="A231" s="4" t="s">
        <v>0</v>
      </c>
      <c r="B231" s="5" t="s">
        <v>1233</v>
      </c>
      <c r="C231" s="6" t="s">
        <v>1234</v>
      </c>
      <c r="D231" s="7" t="s">
        <v>15</v>
      </c>
      <c r="E231" s="5" t="s">
        <v>1268</v>
      </c>
      <c r="F231" s="6" t="s">
        <v>1269</v>
      </c>
      <c r="G231" s="5" t="s">
        <v>1270</v>
      </c>
      <c r="H231" s="6" t="s">
        <v>1271</v>
      </c>
      <c r="I231" s="5" t="s">
        <v>1272</v>
      </c>
      <c r="J231" s="8" t="s">
        <v>21</v>
      </c>
      <c r="K231" s="4"/>
      <c r="L231" s="5" t="s">
        <v>1273</v>
      </c>
    </row>
    <row r="232" customFormat="false" ht="44" hidden="false" customHeight="false" outlineLevel="0" collapsed="false">
      <c r="A232" s="4" t="s">
        <v>0</v>
      </c>
      <c r="B232" s="5" t="s">
        <v>1233</v>
      </c>
      <c r="C232" s="6" t="s">
        <v>1234</v>
      </c>
      <c r="D232" s="7" t="s">
        <v>15</v>
      </c>
      <c r="E232" s="5" t="s">
        <v>1274</v>
      </c>
      <c r="F232" s="6" t="s">
        <v>1275</v>
      </c>
      <c r="G232" s="5" t="s">
        <v>1276</v>
      </c>
      <c r="H232" s="6" t="s">
        <v>1277</v>
      </c>
      <c r="I232" s="6" t="s">
        <v>1278</v>
      </c>
      <c r="J232" s="8" t="s">
        <v>21</v>
      </c>
      <c r="K232" s="4"/>
      <c r="L232" s="5" t="s">
        <v>1279</v>
      </c>
    </row>
    <row r="233" customFormat="false" ht="44" hidden="false" customHeight="false" outlineLevel="0" collapsed="false">
      <c r="A233" s="4" t="s">
        <v>0</v>
      </c>
      <c r="B233" s="5" t="s">
        <v>1233</v>
      </c>
      <c r="C233" s="6" t="s">
        <v>1234</v>
      </c>
      <c r="D233" s="7" t="s">
        <v>15</v>
      </c>
      <c r="E233" s="5" t="s">
        <v>1280</v>
      </c>
      <c r="F233" s="6" t="s">
        <v>1281</v>
      </c>
      <c r="G233" s="5" t="s">
        <v>1282</v>
      </c>
      <c r="H233" s="6" t="s">
        <v>1283</v>
      </c>
      <c r="I233" s="6" t="s">
        <v>1284</v>
      </c>
      <c r="J233" s="8" t="s">
        <v>21</v>
      </c>
      <c r="K233" s="4"/>
      <c r="L233" s="5" t="s">
        <v>1285</v>
      </c>
    </row>
    <row r="234" customFormat="false" ht="29.85" hidden="false" customHeight="false" outlineLevel="0" collapsed="false">
      <c r="A234" s="4" t="s">
        <v>0</v>
      </c>
      <c r="B234" s="5" t="s">
        <v>1233</v>
      </c>
      <c r="C234" s="6" t="s">
        <v>1234</v>
      </c>
      <c r="D234" s="7" t="s">
        <v>15</v>
      </c>
      <c r="E234" s="5" t="s">
        <v>1286</v>
      </c>
      <c r="F234" s="6" t="s">
        <v>1287</v>
      </c>
      <c r="G234" s="5" t="s">
        <v>1288</v>
      </c>
      <c r="H234" s="6" t="s">
        <v>1289</v>
      </c>
      <c r="I234" s="5" t="s">
        <v>1290</v>
      </c>
      <c r="J234" s="8" t="s">
        <v>21</v>
      </c>
      <c r="K234" s="4"/>
      <c r="L234" s="5" t="s">
        <v>1291</v>
      </c>
    </row>
    <row r="235" customFormat="false" ht="29.85" hidden="false" customHeight="false" outlineLevel="0" collapsed="false">
      <c r="A235" s="4" t="s">
        <v>0</v>
      </c>
      <c r="B235" s="5" t="s">
        <v>1233</v>
      </c>
      <c r="C235" s="6" t="s">
        <v>1234</v>
      </c>
      <c r="D235" s="7" t="s">
        <v>15</v>
      </c>
      <c r="E235" s="5" t="s">
        <v>1292</v>
      </c>
      <c r="F235" s="6" t="s">
        <v>1293</v>
      </c>
      <c r="G235" s="5" t="s">
        <v>1294</v>
      </c>
      <c r="H235" s="6" t="s">
        <v>1295</v>
      </c>
      <c r="I235" s="6" t="s">
        <v>1296</v>
      </c>
      <c r="J235" s="8" t="s">
        <v>21</v>
      </c>
      <c r="K235" s="4" t="s">
        <v>1240</v>
      </c>
      <c r="L235" s="5" t="s">
        <v>1291</v>
      </c>
    </row>
    <row r="236" customFormat="false" ht="29.85" hidden="false" customHeight="false" outlineLevel="0" collapsed="false">
      <c r="A236" s="4" t="s">
        <v>0</v>
      </c>
      <c r="B236" s="5" t="s">
        <v>1233</v>
      </c>
      <c r="C236" s="6" t="s">
        <v>1234</v>
      </c>
      <c r="D236" s="7" t="s">
        <v>15</v>
      </c>
      <c r="E236" s="5" t="s">
        <v>1297</v>
      </c>
      <c r="F236" s="6" t="s">
        <v>1298</v>
      </c>
      <c r="G236" s="5" t="s">
        <v>1299</v>
      </c>
      <c r="H236" s="6" t="s">
        <v>1300</v>
      </c>
      <c r="I236" s="6" t="s">
        <v>1301</v>
      </c>
      <c r="J236" s="10" t="s">
        <v>56</v>
      </c>
      <c r="K236" s="4"/>
      <c r="L236" s="5" t="s">
        <v>1302</v>
      </c>
    </row>
    <row r="237" customFormat="false" ht="44" hidden="false" customHeight="false" outlineLevel="0" collapsed="false">
      <c r="A237" s="4" t="s">
        <v>0</v>
      </c>
      <c r="B237" s="5" t="s">
        <v>1233</v>
      </c>
      <c r="C237" s="6" t="s">
        <v>1234</v>
      </c>
      <c r="D237" s="7" t="s">
        <v>15</v>
      </c>
      <c r="E237" s="5" t="s">
        <v>1303</v>
      </c>
      <c r="F237" s="6" t="s">
        <v>1304</v>
      </c>
      <c r="G237" s="5" t="s">
        <v>1305</v>
      </c>
      <c r="H237" s="6" t="s">
        <v>1306</v>
      </c>
      <c r="I237" s="5" t="s">
        <v>1307</v>
      </c>
      <c r="J237" s="8" t="s">
        <v>21</v>
      </c>
      <c r="K237" s="4"/>
      <c r="L237" s="5" t="s">
        <v>1291</v>
      </c>
    </row>
    <row r="238" customFormat="false" ht="29.85" hidden="false" customHeight="false" outlineLevel="0" collapsed="false">
      <c r="A238" s="4" t="s">
        <v>0</v>
      </c>
      <c r="B238" s="5" t="s">
        <v>1233</v>
      </c>
      <c r="C238" s="6" t="s">
        <v>1234</v>
      </c>
      <c r="D238" s="7" t="s">
        <v>15</v>
      </c>
      <c r="E238" s="5" t="s">
        <v>1308</v>
      </c>
      <c r="F238" s="6" t="s">
        <v>1309</v>
      </c>
      <c r="G238" s="5" t="s">
        <v>1310</v>
      </c>
      <c r="H238" s="6" t="s">
        <v>1311</v>
      </c>
      <c r="I238" s="5" t="s">
        <v>1312</v>
      </c>
      <c r="J238" s="8" t="s">
        <v>21</v>
      </c>
      <c r="K238" s="4"/>
      <c r="L238" s="5" t="s">
        <v>1313</v>
      </c>
    </row>
    <row r="239" customFormat="false" ht="15" hidden="false" customHeight="false" outlineLevel="0" collapsed="false">
      <c r="A239" s="4" t="s">
        <v>0</v>
      </c>
      <c r="B239" s="5" t="s">
        <v>1233</v>
      </c>
      <c r="C239" s="6" t="s">
        <v>1234</v>
      </c>
      <c r="D239" s="7" t="s">
        <v>15</v>
      </c>
      <c r="E239" s="5" t="s">
        <v>1314</v>
      </c>
      <c r="F239" s="6" t="s">
        <v>1315</v>
      </c>
      <c r="G239" s="5" t="s">
        <v>1316</v>
      </c>
      <c r="H239" s="6" t="s">
        <v>1317</v>
      </c>
      <c r="I239" s="6" t="s">
        <v>1318</v>
      </c>
      <c r="J239" s="10" t="s">
        <v>56</v>
      </c>
      <c r="K239" s="4"/>
      <c r="L239" s="5" t="s">
        <v>1319</v>
      </c>
    </row>
    <row r="240" customFormat="false" ht="44" hidden="false" customHeight="false" outlineLevel="0" collapsed="false">
      <c r="A240" s="4" t="s">
        <v>0</v>
      </c>
      <c r="B240" s="5" t="s">
        <v>1233</v>
      </c>
      <c r="C240" s="6" t="s">
        <v>1234</v>
      </c>
      <c r="D240" s="7" t="s">
        <v>15</v>
      </c>
      <c r="E240" s="5" t="s">
        <v>1320</v>
      </c>
      <c r="F240" s="5" t="s">
        <v>1321</v>
      </c>
      <c r="G240" s="5" t="s">
        <v>1322</v>
      </c>
      <c r="H240" s="5" t="s">
        <v>1323</v>
      </c>
      <c r="I240" s="6" t="s">
        <v>1324</v>
      </c>
      <c r="J240" s="10" t="s">
        <v>56</v>
      </c>
      <c r="K240" s="4"/>
      <c r="L240" s="5" t="s">
        <v>1319</v>
      </c>
    </row>
    <row r="241" customFormat="false" ht="29.85" hidden="false" customHeight="false" outlineLevel="0" collapsed="false">
      <c r="A241" s="4" t="s">
        <v>0</v>
      </c>
      <c r="B241" s="5" t="s">
        <v>1233</v>
      </c>
      <c r="C241" s="6" t="s">
        <v>1234</v>
      </c>
      <c r="D241" s="7" t="s">
        <v>15</v>
      </c>
      <c r="E241" s="5" t="s">
        <v>1325</v>
      </c>
      <c r="F241" s="5" t="s">
        <v>1326</v>
      </c>
      <c r="G241" s="5" t="s">
        <v>1327</v>
      </c>
      <c r="H241" s="5" t="s">
        <v>1328</v>
      </c>
      <c r="I241" s="5" t="s">
        <v>1329</v>
      </c>
      <c r="J241" s="8" t="s">
        <v>21</v>
      </c>
      <c r="K241" s="4"/>
      <c r="L241" s="5" t="s">
        <v>1330</v>
      </c>
    </row>
    <row r="242" customFormat="false" ht="29.85" hidden="false" customHeight="false" outlineLevel="0" collapsed="false">
      <c r="A242" s="4" t="s">
        <v>0</v>
      </c>
      <c r="B242" s="5" t="s">
        <v>1233</v>
      </c>
      <c r="C242" s="6" t="s">
        <v>1234</v>
      </c>
      <c r="D242" s="7" t="s">
        <v>15</v>
      </c>
      <c r="E242" s="5" t="s">
        <v>1331</v>
      </c>
      <c r="F242" s="6" t="s">
        <v>1332</v>
      </c>
      <c r="G242" s="5" t="s">
        <v>1333</v>
      </c>
      <c r="H242" s="6" t="s">
        <v>1334</v>
      </c>
      <c r="I242" s="6" t="s">
        <v>1335</v>
      </c>
      <c r="J242" s="8" t="s">
        <v>21</v>
      </c>
      <c r="K242" s="4"/>
      <c r="L242" s="5" t="s">
        <v>1336</v>
      </c>
    </row>
    <row r="243" customFormat="false" ht="58.2" hidden="false" customHeight="false" outlineLevel="0" collapsed="false">
      <c r="A243" s="4" t="s">
        <v>0</v>
      </c>
      <c r="B243" s="5" t="s">
        <v>1233</v>
      </c>
      <c r="C243" s="6" t="s">
        <v>1234</v>
      </c>
      <c r="D243" s="7" t="s">
        <v>15</v>
      </c>
      <c r="E243" s="5" t="s">
        <v>1337</v>
      </c>
      <c r="F243" s="6" t="s">
        <v>1338</v>
      </c>
      <c r="G243" s="5" t="s">
        <v>1339</v>
      </c>
      <c r="H243" s="6" t="s">
        <v>1340</v>
      </c>
      <c r="I243" s="5" t="s">
        <v>1341</v>
      </c>
      <c r="J243" s="8" t="s">
        <v>21</v>
      </c>
      <c r="K243" s="4"/>
      <c r="L243" s="5" t="s">
        <v>1342</v>
      </c>
    </row>
    <row r="244" customFormat="false" ht="58.2" hidden="false" customHeight="false" outlineLevel="0" collapsed="false">
      <c r="A244" s="4" t="s">
        <v>0</v>
      </c>
      <c r="B244" s="5" t="s">
        <v>1233</v>
      </c>
      <c r="C244" s="6" t="s">
        <v>1234</v>
      </c>
      <c r="D244" s="7" t="s">
        <v>15</v>
      </c>
      <c r="E244" s="5" t="s">
        <v>1343</v>
      </c>
      <c r="F244" s="6" t="s">
        <v>1344</v>
      </c>
      <c r="G244" s="5" t="s">
        <v>1345</v>
      </c>
      <c r="H244" s="6" t="s">
        <v>1346</v>
      </c>
      <c r="I244" s="6" t="s">
        <v>1347</v>
      </c>
      <c r="J244" s="8" t="s">
        <v>21</v>
      </c>
      <c r="K244" s="4"/>
      <c r="L244" s="5" t="s">
        <v>1348</v>
      </c>
    </row>
    <row r="245" customFormat="false" ht="44" hidden="false" customHeight="false" outlineLevel="0" collapsed="false">
      <c r="A245" s="4" t="s">
        <v>0</v>
      </c>
      <c r="B245" s="5" t="s">
        <v>1233</v>
      </c>
      <c r="C245" s="6" t="s">
        <v>1234</v>
      </c>
      <c r="D245" s="7" t="s">
        <v>15</v>
      </c>
      <c r="E245" s="5" t="s">
        <v>1349</v>
      </c>
      <c r="F245" s="6" t="s">
        <v>1350</v>
      </c>
      <c r="G245" s="5" t="s">
        <v>1351</v>
      </c>
      <c r="H245" s="6" t="s">
        <v>1352</v>
      </c>
      <c r="I245" s="6" t="s">
        <v>1353</v>
      </c>
      <c r="J245" s="12" t="s">
        <v>160</v>
      </c>
      <c r="K245" s="4"/>
      <c r="L245" s="5" t="s">
        <v>1348</v>
      </c>
    </row>
    <row r="246" customFormat="false" ht="29.85" hidden="false" customHeight="false" outlineLevel="0" collapsed="false">
      <c r="A246" s="4" t="s">
        <v>0</v>
      </c>
      <c r="B246" s="5" t="s">
        <v>1233</v>
      </c>
      <c r="C246" s="6" t="s">
        <v>1234</v>
      </c>
      <c r="D246" s="7" t="s">
        <v>15</v>
      </c>
      <c r="E246" s="5" t="s">
        <v>1354</v>
      </c>
      <c r="F246" s="6" t="s">
        <v>1355</v>
      </c>
      <c r="G246" s="5" t="s">
        <v>1356</v>
      </c>
      <c r="H246" s="5" t="s">
        <v>1357</v>
      </c>
      <c r="I246" s="6" t="s">
        <v>1358</v>
      </c>
      <c r="J246" s="8" t="s">
        <v>21</v>
      </c>
      <c r="K246" s="4"/>
      <c r="L246" s="5" t="s">
        <v>1359</v>
      </c>
    </row>
    <row r="247" customFormat="false" ht="29.85" hidden="false" customHeight="false" outlineLevel="0" collapsed="false">
      <c r="A247" s="4" t="s">
        <v>0</v>
      </c>
      <c r="B247" s="5" t="s">
        <v>1233</v>
      </c>
      <c r="C247" s="6" t="s">
        <v>1234</v>
      </c>
      <c r="D247" s="7" t="s">
        <v>15</v>
      </c>
      <c r="E247" s="5" t="s">
        <v>1360</v>
      </c>
      <c r="F247" s="6" t="s">
        <v>1361</v>
      </c>
      <c r="G247" s="5" t="s">
        <v>1362</v>
      </c>
      <c r="H247" s="6" t="s">
        <v>1363</v>
      </c>
      <c r="I247" s="5" t="s">
        <v>1364</v>
      </c>
      <c r="J247" s="10" t="s">
        <v>56</v>
      </c>
      <c r="K247" s="4"/>
      <c r="L247" s="5" t="s">
        <v>1365</v>
      </c>
    </row>
    <row r="248" customFormat="false" ht="58.2" hidden="false" customHeight="false" outlineLevel="0" collapsed="false">
      <c r="A248" s="4" t="s">
        <v>0</v>
      </c>
      <c r="B248" s="5" t="s">
        <v>1233</v>
      </c>
      <c r="C248" s="6" t="s">
        <v>1234</v>
      </c>
      <c r="D248" s="7" t="s">
        <v>15</v>
      </c>
      <c r="E248" s="5" t="s">
        <v>1366</v>
      </c>
      <c r="F248" s="6" t="s">
        <v>1367</v>
      </c>
      <c r="G248" s="5" t="s">
        <v>1368</v>
      </c>
      <c r="H248" s="6" t="s">
        <v>1369</v>
      </c>
      <c r="I248" s="6" t="s">
        <v>1370</v>
      </c>
      <c r="J248" s="8" t="s">
        <v>21</v>
      </c>
      <c r="K248" s="4"/>
      <c r="L248" s="5" t="s">
        <v>1371</v>
      </c>
    </row>
    <row r="249" customFormat="false" ht="44" hidden="false" customHeight="false" outlineLevel="0" collapsed="false">
      <c r="A249" s="4" t="s">
        <v>0</v>
      </c>
      <c r="B249" s="5" t="s">
        <v>1233</v>
      </c>
      <c r="C249" s="6" t="s">
        <v>1234</v>
      </c>
      <c r="D249" s="7" t="s">
        <v>15</v>
      </c>
      <c r="E249" s="5" t="s">
        <v>1372</v>
      </c>
      <c r="F249" s="6" t="s">
        <v>1373</v>
      </c>
      <c r="G249" s="5" t="s">
        <v>1374</v>
      </c>
      <c r="H249" s="6" t="s">
        <v>1375</v>
      </c>
      <c r="I249" s="5" t="s">
        <v>1376</v>
      </c>
      <c r="J249" s="8" t="s">
        <v>21</v>
      </c>
      <c r="K249" s="4"/>
      <c r="L249" s="5" t="s">
        <v>1371</v>
      </c>
    </row>
    <row r="250" customFormat="false" ht="29.85" hidden="false" customHeight="false" outlineLevel="0" collapsed="false">
      <c r="A250" s="4" t="s">
        <v>0</v>
      </c>
      <c r="B250" s="5" t="s">
        <v>1233</v>
      </c>
      <c r="C250" s="6" t="s">
        <v>1234</v>
      </c>
      <c r="D250" s="7" t="s">
        <v>15</v>
      </c>
      <c r="E250" s="5" t="s">
        <v>1377</v>
      </c>
      <c r="F250" s="6" t="s">
        <v>1378</v>
      </c>
      <c r="G250" s="5" t="s">
        <v>1379</v>
      </c>
      <c r="H250" s="6" t="s">
        <v>1380</v>
      </c>
      <c r="I250" s="5" t="s">
        <v>1381</v>
      </c>
      <c r="J250" s="8" t="s">
        <v>21</v>
      </c>
      <c r="K250" s="4"/>
      <c r="L250" s="5" t="s">
        <v>1382</v>
      </c>
    </row>
    <row r="251" customFormat="false" ht="44" hidden="false" customHeight="false" outlineLevel="0" collapsed="false">
      <c r="A251" s="4" t="s">
        <v>0</v>
      </c>
      <c r="B251" s="5" t="s">
        <v>1233</v>
      </c>
      <c r="C251" s="6" t="s">
        <v>1234</v>
      </c>
      <c r="D251" s="7" t="s">
        <v>15</v>
      </c>
      <c r="E251" s="5" t="s">
        <v>1383</v>
      </c>
      <c r="F251" s="6" t="s">
        <v>1384</v>
      </c>
      <c r="G251" s="5" t="s">
        <v>1385</v>
      </c>
      <c r="H251" s="6" t="s">
        <v>1386</v>
      </c>
      <c r="I251" s="5" t="s">
        <v>1387</v>
      </c>
      <c r="J251" s="8" t="s">
        <v>21</v>
      </c>
      <c r="K251" s="4"/>
      <c r="L251" s="5" t="s">
        <v>1388</v>
      </c>
    </row>
    <row r="252" customFormat="false" ht="29.85" hidden="false" customHeight="false" outlineLevel="0" collapsed="false">
      <c r="A252" s="4" t="s">
        <v>0</v>
      </c>
      <c r="B252" s="5" t="s">
        <v>1233</v>
      </c>
      <c r="C252" s="6" t="s">
        <v>1234</v>
      </c>
      <c r="D252" s="7" t="s">
        <v>15</v>
      </c>
      <c r="E252" s="5" t="s">
        <v>1389</v>
      </c>
      <c r="F252" s="6" t="s">
        <v>1390</v>
      </c>
      <c r="G252" s="5" t="s">
        <v>1391</v>
      </c>
      <c r="H252" s="6" t="s">
        <v>1392</v>
      </c>
      <c r="I252" s="6" t="s">
        <v>1393</v>
      </c>
      <c r="J252" s="8" t="s">
        <v>21</v>
      </c>
      <c r="K252" s="4"/>
      <c r="L252" s="5" t="s">
        <v>1388</v>
      </c>
    </row>
    <row r="253" customFormat="false" ht="15" hidden="false" customHeight="false" outlineLevel="0" collapsed="false">
      <c r="A253" s="4" t="s">
        <v>0</v>
      </c>
      <c r="B253" s="5" t="s">
        <v>1233</v>
      </c>
      <c r="C253" s="6" t="s">
        <v>1234</v>
      </c>
      <c r="D253" s="7" t="s">
        <v>15</v>
      </c>
      <c r="E253" s="5" t="s">
        <v>1394</v>
      </c>
      <c r="F253" s="5" t="s">
        <v>1395</v>
      </c>
      <c r="G253" s="5" t="s">
        <v>1396</v>
      </c>
      <c r="H253" s="6" t="s">
        <v>1397</v>
      </c>
      <c r="I253" s="6" t="s">
        <v>1398</v>
      </c>
      <c r="J253" s="8" t="s">
        <v>21</v>
      </c>
      <c r="K253" s="4"/>
      <c r="L253" s="5" t="s">
        <v>1399</v>
      </c>
    </row>
    <row r="254" customFormat="false" ht="29.85" hidden="false" customHeight="false" outlineLevel="0" collapsed="false">
      <c r="A254" s="4" t="s">
        <v>0</v>
      </c>
      <c r="B254" s="5" t="s">
        <v>1233</v>
      </c>
      <c r="C254" s="6" t="s">
        <v>1234</v>
      </c>
      <c r="D254" s="7" t="s">
        <v>15</v>
      </c>
      <c r="E254" s="5" t="s">
        <v>1400</v>
      </c>
      <c r="F254" s="6" t="s">
        <v>1401</v>
      </c>
      <c r="G254" s="5" t="s">
        <v>1402</v>
      </c>
      <c r="H254" s="6" t="s">
        <v>1403</v>
      </c>
      <c r="I254" s="6" t="s">
        <v>1404</v>
      </c>
      <c r="J254" s="8" t="s">
        <v>21</v>
      </c>
      <c r="K254" s="4"/>
      <c r="L254" s="5" t="s">
        <v>1399</v>
      </c>
    </row>
    <row r="255" customFormat="false" ht="29.85" hidden="false" customHeight="false" outlineLevel="0" collapsed="false">
      <c r="A255" s="4" t="s">
        <v>0</v>
      </c>
      <c r="B255" s="5" t="s">
        <v>1233</v>
      </c>
      <c r="C255" s="6" t="s">
        <v>1234</v>
      </c>
      <c r="D255" s="7" t="s">
        <v>15</v>
      </c>
      <c r="E255" s="5" t="s">
        <v>1405</v>
      </c>
      <c r="F255" s="6" t="s">
        <v>1406</v>
      </c>
      <c r="G255" s="5" t="s">
        <v>1407</v>
      </c>
      <c r="H255" s="6" t="s">
        <v>1408</v>
      </c>
      <c r="I255" s="6" t="s">
        <v>1409</v>
      </c>
      <c r="J255" s="10" t="s">
        <v>56</v>
      </c>
      <c r="K255" s="4"/>
      <c r="L255" s="5" t="s">
        <v>1410</v>
      </c>
    </row>
    <row r="256" customFormat="false" ht="44" hidden="false" customHeight="false" outlineLevel="0" collapsed="false">
      <c r="A256" s="4" t="s">
        <v>0</v>
      </c>
      <c r="B256" s="5" t="s">
        <v>1233</v>
      </c>
      <c r="C256" s="6" t="s">
        <v>1234</v>
      </c>
      <c r="D256" s="7" t="s">
        <v>15</v>
      </c>
      <c r="E256" s="5" t="s">
        <v>1411</v>
      </c>
      <c r="F256" s="6" t="s">
        <v>1412</v>
      </c>
      <c r="G256" s="5" t="s">
        <v>1413</v>
      </c>
      <c r="H256" s="5" t="s">
        <v>1414</v>
      </c>
      <c r="I256" s="5" t="s">
        <v>1415</v>
      </c>
      <c r="J256" s="8" t="s">
        <v>21</v>
      </c>
      <c r="K256" s="4" t="s">
        <v>1240</v>
      </c>
      <c r="L256" s="5" t="s">
        <v>1416</v>
      </c>
    </row>
    <row r="257" customFormat="false" ht="44" hidden="false" customHeight="false" outlineLevel="0" collapsed="false">
      <c r="A257" s="4" t="s">
        <v>0</v>
      </c>
      <c r="B257" s="5" t="s">
        <v>1233</v>
      </c>
      <c r="C257" s="6" t="s">
        <v>1234</v>
      </c>
      <c r="D257" s="7" t="s">
        <v>15</v>
      </c>
      <c r="E257" s="5" t="s">
        <v>1417</v>
      </c>
      <c r="F257" s="5" t="s">
        <v>1418</v>
      </c>
      <c r="G257" s="5" t="s">
        <v>1419</v>
      </c>
      <c r="H257" s="5" t="s">
        <v>1420</v>
      </c>
      <c r="I257" s="5" t="s">
        <v>1421</v>
      </c>
      <c r="J257" s="8" t="s">
        <v>21</v>
      </c>
      <c r="K257" s="4"/>
      <c r="L257" s="5" t="s">
        <v>1422</v>
      </c>
    </row>
    <row r="258" customFormat="false" ht="58.2" hidden="false" customHeight="false" outlineLevel="0" collapsed="false">
      <c r="A258" s="4" t="s">
        <v>0</v>
      </c>
      <c r="B258" s="5" t="s">
        <v>1233</v>
      </c>
      <c r="C258" s="6" t="s">
        <v>1234</v>
      </c>
      <c r="D258" s="7" t="s">
        <v>15</v>
      </c>
      <c r="E258" s="5" t="s">
        <v>1423</v>
      </c>
      <c r="F258" s="6" t="s">
        <v>1424</v>
      </c>
      <c r="G258" s="5" t="s">
        <v>1425</v>
      </c>
      <c r="H258" s="6" t="s">
        <v>1426</v>
      </c>
      <c r="I258" s="6" t="s">
        <v>1427</v>
      </c>
      <c r="J258" s="12" t="s">
        <v>160</v>
      </c>
      <c r="K258" s="4" t="s">
        <v>1240</v>
      </c>
      <c r="L258" s="5" t="s">
        <v>1428</v>
      </c>
    </row>
    <row r="259" customFormat="false" ht="29.85" hidden="false" customHeight="false" outlineLevel="0" collapsed="false">
      <c r="A259" s="4" t="s">
        <v>0</v>
      </c>
      <c r="B259" s="5" t="s">
        <v>1233</v>
      </c>
      <c r="C259" s="6" t="s">
        <v>1234</v>
      </c>
      <c r="D259" s="7" t="s">
        <v>15</v>
      </c>
      <c r="E259" s="5" t="s">
        <v>1429</v>
      </c>
      <c r="F259" s="6" t="s">
        <v>1430</v>
      </c>
      <c r="G259" s="5" t="s">
        <v>1431</v>
      </c>
      <c r="H259" s="6" t="s">
        <v>1432</v>
      </c>
      <c r="I259" s="5" t="s">
        <v>1433</v>
      </c>
      <c r="J259" s="8" t="s">
        <v>21</v>
      </c>
      <c r="K259" s="4"/>
      <c r="L259" s="5" t="s">
        <v>1428</v>
      </c>
    </row>
    <row r="260" customFormat="false" ht="23.85" hidden="false" customHeight="false" outlineLevel="0" collapsed="false">
      <c r="A260" s="4" t="s">
        <v>0</v>
      </c>
      <c r="B260" s="5" t="s">
        <v>1233</v>
      </c>
      <c r="C260" s="6" t="s">
        <v>1234</v>
      </c>
      <c r="D260" s="7" t="s">
        <v>15</v>
      </c>
      <c r="E260" s="5" t="s">
        <v>1434</v>
      </c>
      <c r="F260" s="6" t="s">
        <v>1435</v>
      </c>
      <c r="G260" s="5" t="s">
        <v>1436</v>
      </c>
      <c r="H260" s="6" t="s">
        <v>1437</v>
      </c>
      <c r="I260" s="6" t="s">
        <v>1438</v>
      </c>
      <c r="J260" s="8" t="s">
        <v>21</v>
      </c>
      <c r="K260" s="4"/>
      <c r="L260" s="5" t="s">
        <v>1439</v>
      </c>
    </row>
    <row r="261" customFormat="false" ht="15" hidden="false" customHeight="false" outlineLevel="0" collapsed="false">
      <c r="A261" s="4" t="s">
        <v>0</v>
      </c>
      <c r="B261" s="5" t="s">
        <v>1233</v>
      </c>
      <c r="C261" s="6" t="s">
        <v>1234</v>
      </c>
      <c r="D261" s="7" t="s">
        <v>15</v>
      </c>
      <c r="E261" s="5" t="s">
        <v>1440</v>
      </c>
      <c r="F261" s="6" t="s">
        <v>1441</v>
      </c>
      <c r="G261" s="5" t="s">
        <v>1442</v>
      </c>
      <c r="H261" s="6" t="s">
        <v>1443</v>
      </c>
      <c r="I261" s="6" t="s">
        <v>1444</v>
      </c>
      <c r="J261" s="10" t="s">
        <v>56</v>
      </c>
      <c r="K261" s="4"/>
      <c r="L261" s="5" t="s">
        <v>1445</v>
      </c>
    </row>
    <row r="262" customFormat="false" ht="29.85" hidden="false" customHeight="false" outlineLevel="0" collapsed="false">
      <c r="A262" s="4" t="s">
        <v>0</v>
      </c>
      <c r="B262" s="5" t="s">
        <v>1233</v>
      </c>
      <c r="C262" s="6" t="s">
        <v>1234</v>
      </c>
      <c r="D262" s="7" t="s">
        <v>15</v>
      </c>
      <c r="E262" s="5" t="s">
        <v>1446</v>
      </c>
      <c r="F262" s="6" t="s">
        <v>1447</v>
      </c>
      <c r="G262" s="5" t="s">
        <v>1448</v>
      </c>
      <c r="H262" s="6" t="s">
        <v>1449</v>
      </c>
      <c r="I262" s="6" t="s">
        <v>1450</v>
      </c>
      <c r="J262" s="10" t="s">
        <v>56</v>
      </c>
      <c r="K262" s="4"/>
      <c r="L262" s="5" t="s">
        <v>1445</v>
      </c>
    </row>
    <row r="263" customFormat="false" ht="29.85" hidden="false" customHeight="false" outlineLevel="0" collapsed="false">
      <c r="A263" s="4" t="s">
        <v>0</v>
      </c>
      <c r="B263" s="5" t="s">
        <v>1233</v>
      </c>
      <c r="C263" s="6" t="s">
        <v>1234</v>
      </c>
      <c r="D263" s="7" t="s">
        <v>15</v>
      </c>
      <c r="E263" s="5" t="s">
        <v>1451</v>
      </c>
      <c r="F263" s="5" t="s">
        <v>1452</v>
      </c>
      <c r="G263" s="5" t="s">
        <v>1453</v>
      </c>
      <c r="H263" s="6" t="s">
        <v>1454</v>
      </c>
      <c r="I263" s="5" t="s">
        <v>1455</v>
      </c>
      <c r="J263" s="8" t="s">
        <v>21</v>
      </c>
      <c r="K263" s="4"/>
      <c r="L263" s="5" t="s">
        <v>1445</v>
      </c>
    </row>
    <row r="264" customFormat="false" ht="58.2" hidden="false" customHeight="false" outlineLevel="0" collapsed="false">
      <c r="A264" s="4" t="s">
        <v>0</v>
      </c>
      <c r="B264" s="5" t="s">
        <v>1233</v>
      </c>
      <c r="C264" s="6" t="s">
        <v>1234</v>
      </c>
      <c r="D264" s="7" t="s">
        <v>15</v>
      </c>
      <c r="E264" s="5" t="s">
        <v>1456</v>
      </c>
      <c r="F264" s="6" t="s">
        <v>1457</v>
      </c>
      <c r="G264" s="5" t="s">
        <v>1458</v>
      </c>
      <c r="H264" s="6" t="s">
        <v>1459</v>
      </c>
      <c r="I264" s="5" t="s">
        <v>1460</v>
      </c>
      <c r="J264" s="8" t="s">
        <v>21</v>
      </c>
      <c r="K264" s="4"/>
      <c r="L264" s="5" t="s">
        <v>1461</v>
      </c>
    </row>
    <row r="265" customFormat="false" ht="69.4" hidden="false" customHeight="false" outlineLevel="0" collapsed="false">
      <c r="A265" s="4" t="s">
        <v>0</v>
      </c>
      <c r="B265" s="5" t="s">
        <v>1233</v>
      </c>
      <c r="C265" s="6" t="s">
        <v>1234</v>
      </c>
      <c r="D265" s="7" t="s">
        <v>15</v>
      </c>
      <c r="E265" s="5" t="s">
        <v>1462</v>
      </c>
      <c r="F265" s="6" t="s">
        <v>1463</v>
      </c>
      <c r="G265" s="5" t="s">
        <v>1464</v>
      </c>
      <c r="H265" s="6" t="s">
        <v>1465</v>
      </c>
      <c r="I265" s="5" t="s">
        <v>1466</v>
      </c>
      <c r="J265" s="8" t="s">
        <v>21</v>
      </c>
      <c r="K265" s="4"/>
      <c r="L265" s="5" t="s">
        <v>1467</v>
      </c>
    </row>
    <row r="266" customFormat="false" ht="44" hidden="false" customHeight="false" outlineLevel="0" collapsed="false">
      <c r="A266" s="4" t="s">
        <v>0</v>
      </c>
      <c r="B266" s="5" t="s">
        <v>1233</v>
      </c>
      <c r="C266" s="6" t="s">
        <v>1234</v>
      </c>
      <c r="D266" s="7" t="s">
        <v>15</v>
      </c>
      <c r="E266" s="5" t="s">
        <v>1468</v>
      </c>
      <c r="F266" s="6" t="s">
        <v>1469</v>
      </c>
      <c r="G266" s="5" t="s">
        <v>1470</v>
      </c>
      <c r="H266" s="5" t="s">
        <v>1471</v>
      </c>
      <c r="I266" s="5" t="s">
        <v>1472</v>
      </c>
      <c r="J266" s="8" t="s">
        <v>21</v>
      </c>
      <c r="K266" s="4"/>
      <c r="L266" s="5" t="s">
        <v>1473</v>
      </c>
    </row>
    <row r="267" customFormat="false" ht="58.2" hidden="false" customHeight="false" outlineLevel="0" collapsed="false">
      <c r="A267" s="4" t="s">
        <v>0</v>
      </c>
      <c r="B267" s="5" t="s">
        <v>1233</v>
      </c>
      <c r="C267" s="6" t="s">
        <v>1234</v>
      </c>
      <c r="D267" s="7" t="s">
        <v>15</v>
      </c>
      <c r="E267" s="5" t="s">
        <v>1474</v>
      </c>
      <c r="F267" s="6" t="s">
        <v>1475</v>
      </c>
      <c r="G267" s="5" t="s">
        <v>1476</v>
      </c>
      <c r="H267" s="5" t="s">
        <v>1477</v>
      </c>
      <c r="I267" s="6" t="s">
        <v>1478</v>
      </c>
      <c r="J267" s="8" t="s">
        <v>21</v>
      </c>
      <c r="K267" s="4"/>
      <c r="L267" s="5" t="s">
        <v>1479</v>
      </c>
    </row>
    <row r="268" customFormat="false" ht="44" hidden="false" customHeight="false" outlineLevel="0" collapsed="false">
      <c r="A268" s="4" t="s">
        <v>0</v>
      </c>
      <c r="B268" s="5" t="s">
        <v>1233</v>
      </c>
      <c r="C268" s="6" t="s">
        <v>1234</v>
      </c>
      <c r="D268" s="7" t="s">
        <v>15</v>
      </c>
      <c r="E268" s="5" t="s">
        <v>1480</v>
      </c>
      <c r="F268" s="5" t="s">
        <v>1481</v>
      </c>
      <c r="G268" s="5" t="s">
        <v>1482</v>
      </c>
      <c r="H268" s="5" t="s">
        <v>1483</v>
      </c>
      <c r="I268" s="5" t="s">
        <v>1484</v>
      </c>
      <c r="J268" s="8" t="s">
        <v>21</v>
      </c>
      <c r="K268" s="4"/>
      <c r="L268" s="5" t="s">
        <v>1485</v>
      </c>
    </row>
    <row r="269" customFormat="false" ht="29.85" hidden="false" customHeight="false" outlineLevel="0" collapsed="false">
      <c r="A269" s="4" t="s">
        <v>0</v>
      </c>
      <c r="B269" s="5" t="s">
        <v>1233</v>
      </c>
      <c r="C269" s="6" t="s">
        <v>1234</v>
      </c>
      <c r="D269" s="7" t="s">
        <v>15</v>
      </c>
      <c r="E269" s="5" t="s">
        <v>1486</v>
      </c>
      <c r="F269" s="5" t="s">
        <v>1487</v>
      </c>
      <c r="G269" s="5" t="s">
        <v>1488</v>
      </c>
      <c r="H269" s="6" t="s">
        <v>1489</v>
      </c>
      <c r="I269" s="5" t="s">
        <v>1490</v>
      </c>
      <c r="J269" s="8" t="s">
        <v>21</v>
      </c>
      <c r="K269" s="4"/>
      <c r="L269" s="5" t="s">
        <v>1491</v>
      </c>
    </row>
    <row r="270" customFormat="false" ht="41" hidden="false" customHeight="false" outlineLevel="0" collapsed="false">
      <c r="A270" s="4" t="s">
        <v>0</v>
      </c>
      <c r="B270" s="5" t="s">
        <v>1233</v>
      </c>
      <c r="C270" s="6" t="s">
        <v>1234</v>
      </c>
      <c r="D270" s="7" t="s">
        <v>15</v>
      </c>
      <c r="E270" s="5" t="s">
        <v>1492</v>
      </c>
      <c r="F270" s="6" t="s">
        <v>1493</v>
      </c>
      <c r="G270" s="5" t="s">
        <v>1494</v>
      </c>
      <c r="H270" s="5" t="s">
        <v>1495</v>
      </c>
      <c r="I270" s="5" t="s">
        <v>1496</v>
      </c>
      <c r="J270" s="8" t="s">
        <v>21</v>
      </c>
      <c r="K270" s="4"/>
      <c r="L270" s="5" t="s">
        <v>1491</v>
      </c>
    </row>
    <row r="271" customFormat="false" ht="86.55" hidden="false" customHeight="false" outlineLevel="0" collapsed="false">
      <c r="A271" s="4" t="s">
        <v>0</v>
      </c>
      <c r="B271" s="5" t="s">
        <v>1233</v>
      </c>
      <c r="C271" s="6" t="s">
        <v>1234</v>
      </c>
      <c r="D271" s="7" t="s">
        <v>15</v>
      </c>
      <c r="E271" s="5" t="s">
        <v>1497</v>
      </c>
      <c r="F271" s="6" t="s">
        <v>1498</v>
      </c>
      <c r="G271" s="5" t="s">
        <v>1499</v>
      </c>
      <c r="H271" s="5" t="s">
        <v>1500</v>
      </c>
      <c r="I271" s="5" t="s">
        <v>1501</v>
      </c>
      <c r="J271" s="8" t="s">
        <v>21</v>
      </c>
      <c r="K271" s="4"/>
      <c r="L271" s="5" t="s">
        <v>1502</v>
      </c>
    </row>
    <row r="272" customFormat="false" ht="44" hidden="false" customHeight="false" outlineLevel="0" collapsed="false">
      <c r="A272" s="4" t="s">
        <v>0</v>
      </c>
      <c r="B272" s="5" t="s">
        <v>1233</v>
      </c>
      <c r="C272" s="6" t="s">
        <v>1234</v>
      </c>
      <c r="D272" s="7" t="s">
        <v>15</v>
      </c>
      <c r="E272" s="5" t="s">
        <v>1503</v>
      </c>
      <c r="F272" s="6" t="s">
        <v>1504</v>
      </c>
      <c r="G272" s="5" t="s">
        <v>1505</v>
      </c>
      <c r="H272" s="5" t="s">
        <v>1506</v>
      </c>
      <c r="I272" s="5" t="s">
        <v>1507</v>
      </c>
      <c r="J272" s="8" t="s">
        <v>21</v>
      </c>
      <c r="K272" s="4"/>
      <c r="L272" s="5" t="s">
        <v>1502</v>
      </c>
    </row>
    <row r="273" customFormat="false" ht="29.85" hidden="false" customHeight="false" outlineLevel="0" collapsed="false">
      <c r="A273" s="4" t="s">
        <v>0</v>
      </c>
      <c r="B273" s="5" t="s">
        <v>1233</v>
      </c>
      <c r="C273" s="6" t="s">
        <v>1234</v>
      </c>
      <c r="D273" s="7" t="s">
        <v>15</v>
      </c>
      <c r="E273" s="5" t="s">
        <v>1508</v>
      </c>
      <c r="F273" s="6" t="s">
        <v>1509</v>
      </c>
      <c r="G273" s="5" t="s">
        <v>1510</v>
      </c>
      <c r="H273" s="5" t="s">
        <v>1511</v>
      </c>
      <c r="I273" s="5" t="s">
        <v>1512</v>
      </c>
      <c r="J273" s="10" t="s">
        <v>56</v>
      </c>
      <c r="K273" s="4"/>
      <c r="L273" s="5" t="s">
        <v>1513</v>
      </c>
    </row>
    <row r="274" customFormat="false" ht="23.85" hidden="false" customHeight="false" outlineLevel="0" collapsed="false">
      <c r="A274" s="4" t="s">
        <v>0</v>
      </c>
      <c r="B274" s="5" t="s">
        <v>1233</v>
      </c>
      <c r="C274" s="6" t="s">
        <v>1234</v>
      </c>
      <c r="D274" s="7" t="s">
        <v>15</v>
      </c>
      <c r="E274" s="5" t="s">
        <v>1514</v>
      </c>
      <c r="F274" s="5" t="s">
        <v>1515</v>
      </c>
      <c r="G274" s="5" t="s">
        <v>1516</v>
      </c>
      <c r="H274" s="5" t="s">
        <v>1517</v>
      </c>
      <c r="I274" s="5" t="s">
        <v>1518</v>
      </c>
      <c r="J274" s="10" t="s">
        <v>56</v>
      </c>
      <c r="K274" s="4" t="s">
        <v>1240</v>
      </c>
      <c r="L274" s="5" t="s">
        <v>1519</v>
      </c>
    </row>
    <row r="275" customFormat="false" ht="29.85" hidden="false" customHeight="false" outlineLevel="0" collapsed="false">
      <c r="A275" s="4" t="s">
        <v>0</v>
      </c>
      <c r="B275" s="5" t="s">
        <v>1233</v>
      </c>
      <c r="C275" s="6" t="s">
        <v>1234</v>
      </c>
      <c r="D275" s="7" t="s">
        <v>15</v>
      </c>
      <c r="E275" s="5" t="s">
        <v>1520</v>
      </c>
      <c r="F275" s="6" t="s">
        <v>1521</v>
      </c>
      <c r="G275" s="5" t="s">
        <v>1522</v>
      </c>
      <c r="H275" s="6" t="s">
        <v>1523</v>
      </c>
      <c r="I275" s="5" t="s">
        <v>1524</v>
      </c>
      <c r="J275" s="10" t="s">
        <v>56</v>
      </c>
      <c r="K275" s="4"/>
      <c r="L275" s="5" t="s">
        <v>1525</v>
      </c>
    </row>
    <row r="276" customFormat="false" ht="58.2" hidden="false" customHeight="false" outlineLevel="0" collapsed="false">
      <c r="A276" s="4" t="s">
        <v>0</v>
      </c>
      <c r="B276" s="5" t="s">
        <v>1233</v>
      </c>
      <c r="C276" s="6" t="s">
        <v>1234</v>
      </c>
      <c r="D276" s="7" t="s">
        <v>15</v>
      </c>
      <c r="E276" s="5" t="s">
        <v>1526</v>
      </c>
      <c r="F276" s="6" t="s">
        <v>1527</v>
      </c>
      <c r="G276" s="5" t="s">
        <v>1528</v>
      </c>
      <c r="H276" s="6" t="s">
        <v>1529</v>
      </c>
      <c r="I276" s="5" t="s">
        <v>1530</v>
      </c>
      <c r="J276" s="10" t="s">
        <v>56</v>
      </c>
      <c r="K276" s="4"/>
      <c r="L276" s="5" t="s">
        <v>1531</v>
      </c>
    </row>
    <row r="277" customFormat="false" ht="23.85" hidden="false" customHeight="false" outlineLevel="0" collapsed="false">
      <c r="A277" s="4" t="s">
        <v>0</v>
      </c>
      <c r="B277" s="5" t="s">
        <v>1233</v>
      </c>
      <c r="C277" s="6" t="s">
        <v>1234</v>
      </c>
      <c r="D277" s="7" t="s">
        <v>15</v>
      </c>
      <c r="E277" s="5" t="s">
        <v>1532</v>
      </c>
      <c r="F277" s="5" t="s">
        <v>1533</v>
      </c>
      <c r="G277" s="5" t="s">
        <v>1534</v>
      </c>
      <c r="H277" s="5" t="s">
        <v>1535</v>
      </c>
      <c r="I277" s="5" t="s">
        <v>1536</v>
      </c>
      <c r="J277" s="10" t="s">
        <v>56</v>
      </c>
      <c r="K277" s="4"/>
      <c r="L277" s="5" t="s">
        <v>1537</v>
      </c>
    </row>
    <row r="278" customFormat="false" ht="29.85" hidden="false" customHeight="false" outlineLevel="0" collapsed="false">
      <c r="A278" s="4" t="s">
        <v>0</v>
      </c>
      <c r="B278" s="5" t="s">
        <v>1233</v>
      </c>
      <c r="C278" s="6" t="s">
        <v>1234</v>
      </c>
      <c r="D278" s="7" t="s">
        <v>15</v>
      </c>
      <c r="E278" s="5" t="s">
        <v>1538</v>
      </c>
      <c r="F278" s="5" t="s">
        <v>1539</v>
      </c>
      <c r="G278" s="5" t="s">
        <v>1540</v>
      </c>
      <c r="H278" s="5" t="s">
        <v>1541</v>
      </c>
      <c r="I278" s="5" t="s">
        <v>1542</v>
      </c>
      <c r="J278" s="10" t="s">
        <v>56</v>
      </c>
      <c r="K278" s="4"/>
      <c r="L278" s="5" t="s">
        <v>1543</v>
      </c>
    </row>
    <row r="279" customFormat="false" ht="29.85" hidden="false" customHeight="false" outlineLevel="0" collapsed="false">
      <c r="A279" s="4" t="s">
        <v>0</v>
      </c>
      <c r="B279" s="5" t="s">
        <v>1233</v>
      </c>
      <c r="C279" s="6" t="s">
        <v>1234</v>
      </c>
      <c r="D279" s="7" t="s">
        <v>15</v>
      </c>
      <c r="E279" s="5" t="s">
        <v>1544</v>
      </c>
      <c r="F279" s="5" t="s">
        <v>1545</v>
      </c>
      <c r="G279" s="5" t="s">
        <v>1546</v>
      </c>
      <c r="H279" s="6" t="s">
        <v>1547</v>
      </c>
      <c r="I279" s="5" t="s">
        <v>1548</v>
      </c>
      <c r="J279" s="10" t="s">
        <v>56</v>
      </c>
      <c r="K279" s="4"/>
      <c r="L279" s="5" t="s">
        <v>1549</v>
      </c>
    </row>
    <row r="280" customFormat="false" ht="44" hidden="false" customHeight="false" outlineLevel="0" collapsed="false">
      <c r="A280" s="4" t="s">
        <v>0</v>
      </c>
      <c r="B280" s="5" t="s">
        <v>1233</v>
      </c>
      <c r="C280" s="6" t="s">
        <v>1234</v>
      </c>
      <c r="D280" s="7" t="s">
        <v>15</v>
      </c>
      <c r="E280" s="5" t="s">
        <v>1550</v>
      </c>
      <c r="F280" s="6" t="s">
        <v>1551</v>
      </c>
      <c r="G280" s="5" t="s">
        <v>1552</v>
      </c>
      <c r="H280" s="6" t="s">
        <v>1553</v>
      </c>
      <c r="I280" s="5" t="s">
        <v>1524</v>
      </c>
      <c r="J280" s="10" t="s">
        <v>56</v>
      </c>
      <c r="K280" s="4"/>
      <c r="L280" s="5" t="s">
        <v>1554</v>
      </c>
    </row>
    <row r="281" customFormat="false" ht="58.2" hidden="false" customHeight="false" outlineLevel="0" collapsed="false">
      <c r="A281" s="4" t="s">
        <v>0</v>
      </c>
      <c r="B281" s="5" t="s">
        <v>1233</v>
      </c>
      <c r="C281" s="6" t="s">
        <v>1234</v>
      </c>
      <c r="D281" s="7" t="s">
        <v>15</v>
      </c>
      <c r="E281" s="5" t="s">
        <v>1555</v>
      </c>
      <c r="F281" s="6" t="s">
        <v>1556</v>
      </c>
      <c r="G281" s="5" t="s">
        <v>1557</v>
      </c>
      <c r="H281" s="5" t="s">
        <v>1558</v>
      </c>
      <c r="I281" s="5" t="s">
        <v>1524</v>
      </c>
      <c r="J281" s="10" t="s">
        <v>56</v>
      </c>
      <c r="K281" s="4"/>
      <c r="L281" s="5" t="s">
        <v>1559</v>
      </c>
    </row>
    <row r="282" customFormat="false" ht="44" hidden="false" customHeight="false" outlineLevel="0" collapsed="false">
      <c r="A282" s="4" t="s">
        <v>0</v>
      </c>
      <c r="B282" s="5" t="s">
        <v>1233</v>
      </c>
      <c r="C282" s="6" t="s">
        <v>1234</v>
      </c>
      <c r="D282" s="7" t="s">
        <v>15</v>
      </c>
      <c r="E282" s="5" t="s">
        <v>1560</v>
      </c>
      <c r="F282" s="6" t="s">
        <v>1561</v>
      </c>
      <c r="G282" s="5" t="s">
        <v>1562</v>
      </c>
      <c r="H282" s="5" t="s">
        <v>1563</v>
      </c>
      <c r="I282" s="5" t="s">
        <v>1564</v>
      </c>
      <c r="J282" s="10" t="s">
        <v>56</v>
      </c>
      <c r="K282" s="4"/>
      <c r="L282" s="5" t="s">
        <v>1565</v>
      </c>
    </row>
    <row r="283" customFormat="false" ht="29.85" hidden="false" customHeight="false" outlineLevel="0" collapsed="false">
      <c r="A283" s="4" t="s">
        <v>0</v>
      </c>
      <c r="B283" s="5" t="s">
        <v>1233</v>
      </c>
      <c r="C283" s="6" t="s">
        <v>1234</v>
      </c>
      <c r="D283" s="7" t="s">
        <v>15</v>
      </c>
      <c r="E283" s="5" t="s">
        <v>1566</v>
      </c>
      <c r="F283" s="6" t="s">
        <v>1567</v>
      </c>
      <c r="G283" s="5" t="s">
        <v>1568</v>
      </c>
      <c r="H283" s="6" t="s">
        <v>1569</v>
      </c>
      <c r="I283" s="5" t="s">
        <v>1570</v>
      </c>
      <c r="J283" s="10" t="s">
        <v>56</v>
      </c>
      <c r="K283" s="4"/>
      <c r="L283" s="5" t="s">
        <v>1571</v>
      </c>
    </row>
    <row r="284" customFormat="false" ht="58.2" hidden="false" customHeight="false" outlineLevel="0" collapsed="false">
      <c r="A284" s="4" t="s">
        <v>0</v>
      </c>
      <c r="B284" s="5" t="s">
        <v>1233</v>
      </c>
      <c r="C284" s="6" t="s">
        <v>1234</v>
      </c>
      <c r="D284" s="7" t="s">
        <v>15</v>
      </c>
      <c r="E284" s="5" t="s">
        <v>1572</v>
      </c>
      <c r="F284" s="6" t="s">
        <v>1573</v>
      </c>
      <c r="G284" s="5" t="s">
        <v>1574</v>
      </c>
      <c r="H284" s="5" t="s">
        <v>1575</v>
      </c>
      <c r="I284" s="5" t="s">
        <v>1576</v>
      </c>
      <c r="J284" s="10" t="s">
        <v>56</v>
      </c>
      <c r="K284" s="4"/>
      <c r="L284" s="5" t="s">
        <v>1577</v>
      </c>
    </row>
    <row r="285" customFormat="false" ht="41" hidden="false" customHeight="false" outlineLevel="0" collapsed="false">
      <c r="A285" s="4" t="s">
        <v>0</v>
      </c>
      <c r="B285" s="5" t="s">
        <v>1233</v>
      </c>
      <c r="C285" s="6" t="s">
        <v>1234</v>
      </c>
      <c r="D285" s="7" t="s">
        <v>15</v>
      </c>
      <c r="E285" s="5" t="s">
        <v>1578</v>
      </c>
      <c r="F285" s="6" t="s">
        <v>1579</v>
      </c>
      <c r="G285" s="5" t="s">
        <v>1580</v>
      </c>
      <c r="H285" s="6" t="s">
        <v>1581</v>
      </c>
      <c r="I285" s="5" t="s">
        <v>1582</v>
      </c>
      <c r="J285" s="10" t="s">
        <v>56</v>
      </c>
      <c r="K285" s="4"/>
      <c r="L285" s="5" t="s">
        <v>1583</v>
      </c>
    </row>
    <row r="286" customFormat="false" ht="29.85" hidden="false" customHeight="false" outlineLevel="0" collapsed="false">
      <c r="A286" s="4" t="s">
        <v>0</v>
      </c>
      <c r="B286" s="5" t="s">
        <v>1233</v>
      </c>
      <c r="C286" s="6" t="s">
        <v>1234</v>
      </c>
      <c r="D286" s="7" t="s">
        <v>15</v>
      </c>
      <c r="E286" s="5" t="s">
        <v>1584</v>
      </c>
      <c r="F286" s="6" t="s">
        <v>1585</v>
      </c>
      <c r="G286" s="5" t="s">
        <v>1586</v>
      </c>
      <c r="H286" s="6" t="s">
        <v>1587</v>
      </c>
      <c r="I286" s="5" t="s">
        <v>1588</v>
      </c>
      <c r="J286" s="10" t="s">
        <v>56</v>
      </c>
      <c r="K286" s="4"/>
      <c r="L286" s="5" t="s">
        <v>1589</v>
      </c>
    </row>
    <row r="287" customFormat="false" ht="29.85" hidden="false" customHeight="false" outlineLevel="0" collapsed="false">
      <c r="A287" s="4" t="s">
        <v>0</v>
      </c>
      <c r="B287" s="5" t="s">
        <v>1233</v>
      </c>
      <c r="C287" s="6" t="s">
        <v>1234</v>
      </c>
      <c r="D287" s="7" t="s">
        <v>15</v>
      </c>
      <c r="E287" s="5" t="s">
        <v>1590</v>
      </c>
      <c r="F287" s="6" t="s">
        <v>1591</v>
      </c>
      <c r="G287" s="5" t="s">
        <v>1592</v>
      </c>
      <c r="H287" s="6" t="s">
        <v>1593</v>
      </c>
      <c r="I287" s="5" t="s">
        <v>1594</v>
      </c>
      <c r="J287" s="10" t="s">
        <v>56</v>
      </c>
      <c r="K287" s="4"/>
      <c r="L287" s="5" t="s">
        <v>1595</v>
      </c>
    </row>
    <row r="288" customFormat="false" ht="44" hidden="false" customHeight="false" outlineLevel="0" collapsed="false">
      <c r="A288" s="4" t="s">
        <v>0</v>
      </c>
      <c r="B288" s="5" t="s">
        <v>1233</v>
      </c>
      <c r="C288" s="6" t="s">
        <v>1234</v>
      </c>
      <c r="D288" s="7" t="s">
        <v>15</v>
      </c>
      <c r="E288" s="5" t="s">
        <v>1596</v>
      </c>
      <c r="F288" s="6" t="s">
        <v>1597</v>
      </c>
      <c r="G288" s="5" t="s">
        <v>1598</v>
      </c>
      <c r="H288" s="5" t="s">
        <v>1599</v>
      </c>
      <c r="I288" s="5" t="s">
        <v>1600</v>
      </c>
      <c r="J288" s="8" t="s">
        <v>21</v>
      </c>
      <c r="K288" s="4"/>
      <c r="L288" s="5" t="s">
        <v>1601</v>
      </c>
    </row>
    <row r="289" customFormat="false" ht="44" hidden="false" customHeight="false" outlineLevel="0" collapsed="false">
      <c r="A289" s="4" t="s">
        <v>0</v>
      </c>
      <c r="B289" s="5" t="s">
        <v>1233</v>
      </c>
      <c r="C289" s="6" t="s">
        <v>1234</v>
      </c>
      <c r="D289" s="7" t="s">
        <v>15</v>
      </c>
      <c r="E289" s="5" t="s">
        <v>1602</v>
      </c>
      <c r="F289" s="5" t="s">
        <v>1603</v>
      </c>
      <c r="G289" s="5" t="s">
        <v>1604</v>
      </c>
      <c r="H289" s="5" t="s">
        <v>1605</v>
      </c>
      <c r="I289" s="6" t="s">
        <v>1606</v>
      </c>
      <c r="J289" s="8" t="s">
        <v>21</v>
      </c>
      <c r="K289" s="4" t="s">
        <v>1240</v>
      </c>
      <c r="L289" s="5" t="s">
        <v>1607</v>
      </c>
    </row>
    <row r="290" customFormat="false" ht="86.55" hidden="false" customHeight="false" outlineLevel="0" collapsed="false">
      <c r="A290" s="4" t="s">
        <v>0</v>
      </c>
      <c r="B290" s="5" t="s">
        <v>1233</v>
      </c>
      <c r="C290" s="6" t="s">
        <v>1234</v>
      </c>
      <c r="D290" s="7" t="s">
        <v>15</v>
      </c>
      <c r="E290" s="5" t="s">
        <v>1608</v>
      </c>
      <c r="F290" s="6" t="s">
        <v>1609</v>
      </c>
      <c r="G290" s="5" t="s">
        <v>1610</v>
      </c>
      <c r="H290" s="6" t="s">
        <v>1611</v>
      </c>
      <c r="I290" s="5" t="s">
        <v>1612</v>
      </c>
      <c r="J290" s="8" t="s">
        <v>21</v>
      </c>
      <c r="K290" s="4"/>
      <c r="L290" s="5" t="s">
        <v>1613</v>
      </c>
    </row>
    <row r="291" customFormat="false" ht="29.85" hidden="false" customHeight="false" outlineLevel="0" collapsed="false">
      <c r="A291" s="4" t="s">
        <v>0</v>
      </c>
      <c r="B291" s="5" t="s">
        <v>1233</v>
      </c>
      <c r="C291" s="6" t="s">
        <v>1234</v>
      </c>
      <c r="D291" s="7" t="s">
        <v>15</v>
      </c>
      <c r="E291" s="5" t="s">
        <v>1614</v>
      </c>
      <c r="F291" s="5" t="s">
        <v>1615</v>
      </c>
      <c r="G291" s="5" t="s">
        <v>1616</v>
      </c>
      <c r="H291" s="5" t="s">
        <v>1617</v>
      </c>
      <c r="I291" s="5" t="s">
        <v>1618</v>
      </c>
      <c r="J291" s="8" t="s">
        <v>21</v>
      </c>
      <c r="K291" s="4"/>
      <c r="L291" s="5" t="s">
        <v>1619</v>
      </c>
    </row>
    <row r="292" customFormat="false" ht="41" hidden="false" customHeight="false" outlineLevel="0" collapsed="false">
      <c r="A292" s="4" t="s">
        <v>0</v>
      </c>
      <c r="B292" s="5" t="s">
        <v>1233</v>
      </c>
      <c r="C292" s="6" t="s">
        <v>1234</v>
      </c>
      <c r="D292" s="7" t="s">
        <v>15</v>
      </c>
      <c r="E292" s="5" t="s">
        <v>1620</v>
      </c>
      <c r="F292" s="5" t="s">
        <v>1621</v>
      </c>
      <c r="G292" s="5" t="s">
        <v>1622</v>
      </c>
      <c r="H292" s="5" t="s">
        <v>1623</v>
      </c>
      <c r="I292" s="5" t="s">
        <v>1624</v>
      </c>
      <c r="J292" s="8" t="s">
        <v>21</v>
      </c>
      <c r="K292" s="4"/>
      <c r="L292" s="5" t="s">
        <v>1625</v>
      </c>
    </row>
    <row r="293" customFormat="false" ht="58.2" hidden="false" customHeight="false" outlineLevel="0" collapsed="false">
      <c r="A293" s="4" t="s">
        <v>0</v>
      </c>
      <c r="B293" s="5" t="s">
        <v>1233</v>
      </c>
      <c r="C293" s="6" t="s">
        <v>1234</v>
      </c>
      <c r="D293" s="7" t="s">
        <v>15</v>
      </c>
      <c r="E293" s="5" t="s">
        <v>1626</v>
      </c>
      <c r="F293" s="5" t="s">
        <v>1627</v>
      </c>
      <c r="G293" s="5" t="s">
        <v>1628</v>
      </c>
      <c r="H293" s="6" t="s">
        <v>1629</v>
      </c>
      <c r="I293" s="5" t="s">
        <v>1630</v>
      </c>
      <c r="J293" s="8" t="s">
        <v>21</v>
      </c>
      <c r="K293" s="4"/>
      <c r="L293" s="5" t="s">
        <v>1631</v>
      </c>
    </row>
    <row r="294" customFormat="false" ht="58.2" hidden="false" customHeight="false" outlineLevel="0" collapsed="false">
      <c r="A294" s="4" t="s">
        <v>0</v>
      </c>
      <c r="B294" s="5" t="s">
        <v>1233</v>
      </c>
      <c r="C294" s="6" t="s">
        <v>1234</v>
      </c>
      <c r="D294" s="7" t="s">
        <v>15</v>
      </c>
      <c r="E294" s="5" t="s">
        <v>1632</v>
      </c>
      <c r="F294" s="6" t="s">
        <v>1633</v>
      </c>
      <c r="G294" s="5" t="s">
        <v>1634</v>
      </c>
      <c r="H294" s="6" t="s">
        <v>1635</v>
      </c>
      <c r="I294" s="5" t="s">
        <v>1636</v>
      </c>
      <c r="J294" s="8" t="s">
        <v>21</v>
      </c>
      <c r="K294" s="4"/>
      <c r="L294" s="5" t="s">
        <v>1637</v>
      </c>
    </row>
    <row r="295" customFormat="false" ht="58.2" hidden="false" customHeight="false" outlineLevel="0" collapsed="false">
      <c r="A295" s="4" t="s">
        <v>0</v>
      </c>
      <c r="B295" s="5" t="s">
        <v>1233</v>
      </c>
      <c r="C295" s="6" t="s">
        <v>1234</v>
      </c>
      <c r="D295" s="7" t="s">
        <v>15</v>
      </c>
      <c r="E295" s="5" t="s">
        <v>1638</v>
      </c>
      <c r="F295" s="6" t="s">
        <v>1639</v>
      </c>
      <c r="G295" s="5" t="s">
        <v>1640</v>
      </c>
      <c r="H295" s="5" t="s">
        <v>1641</v>
      </c>
      <c r="I295" s="5" t="s">
        <v>1642</v>
      </c>
      <c r="J295" s="8" t="s">
        <v>21</v>
      </c>
      <c r="K295" s="4"/>
      <c r="L295" s="5" t="s">
        <v>1643</v>
      </c>
    </row>
    <row r="296" customFormat="false" ht="58.2" hidden="false" customHeight="false" outlineLevel="0" collapsed="false">
      <c r="A296" s="4" t="s">
        <v>0</v>
      </c>
      <c r="B296" s="5" t="s">
        <v>1233</v>
      </c>
      <c r="C296" s="6" t="s">
        <v>1234</v>
      </c>
      <c r="D296" s="7" t="s">
        <v>15</v>
      </c>
      <c r="E296" s="5" t="s">
        <v>1644</v>
      </c>
      <c r="F296" s="6" t="s">
        <v>1645</v>
      </c>
      <c r="G296" s="5" t="s">
        <v>1646</v>
      </c>
      <c r="H296" s="6" t="s">
        <v>1647</v>
      </c>
      <c r="I296" s="6" t="s">
        <v>1648</v>
      </c>
      <c r="J296" s="10" t="s">
        <v>56</v>
      </c>
      <c r="K296" s="4"/>
      <c r="L296" s="5" t="s">
        <v>1649</v>
      </c>
    </row>
    <row r="297" customFormat="false" ht="29.85" hidden="false" customHeight="false" outlineLevel="0" collapsed="false">
      <c r="A297" s="4" t="s">
        <v>0</v>
      </c>
      <c r="B297" s="5" t="s">
        <v>1233</v>
      </c>
      <c r="C297" s="6" t="s">
        <v>1234</v>
      </c>
      <c r="D297" s="7" t="s">
        <v>15</v>
      </c>
      <c r="E297" s="5" t="s">
        <v>1650</v>
      </c>
      <c r="F297" s="6" t="s">
        <v>1651</v>
      </c>
      <c r="G297" s="5" t="s">
        <v>1652</v>
      </c>
      <c r="H297" s="6" t="s">
        <v>1653</v>
      </c>
      <c r="I297" s="6" t="s">
        <v>1654</v>
      </c>
      <c r="J297" s="8" t="s">
        <v>21</v>
      </c>
      <c r="K297" s="4"/>
      <c r="L297" s="5" t="s">
        <v>1649</v>
      </c>
    </row>
    <row r="298" customFormat="false" ht="58.2" hidden="false" customHeight="false" outlineLevel="0" collapsed="false">
      <c r="A298" s="4" t="s">
        <v>0</v>
      </c>
      <c r="B298" s="5" t="s">
        <v>1233</v>
      </c>
      <c r="C298" s="6" t="s">
        <v>1234</v>
      </c>
      <c r="D298" s="7" t="s">
        <v>15</v>
      </c>
      <c r="E298" s="5" t="s">
        <v>1655</v>
      </c>
      <c r="F298" s="6" t="s">
        <v>1656</v>
      </c>
      <c r="G298" s="5" t="s">
        <v>1657</v>
      </c>
      <c r="H298" s="5" t="s">
        <v>1658</v>
      </c>
      <c r="I298" s="5" t="s">
        <v>1659</v>
      </c>
      <c r="J298" s="10" t="s">
        <v>56</v>
      </c>
      <c r="K298" s="4"/>
      <c r="L298" s="5" t="s">
        <v>1649</v>
      </c>
    </row>
    <row r="299" customFormat="false" ht="86.55" hidden="false" customHeight="false" outlineLevel="0" collapsed="false">
      <c r="A299" s="4" t="s">
        <v>0</v>
      </c>
      <c r="B299" s="5" t="s">
        <v>1233</v>
      </c>
      <c r="C299" s="6" t="s">
        <v>1234</v>
      </c>
      <c r="D299" s="7" t="s">
        <v>15</v>
      </c>
      <c r="E299" s="5" t="s">
        <v>1660</v>
      </c>
      <c r="F299" s="6" t="s">
        <v>1661</v>
      </c>
      <c r="G299" s="5" t="s">
        <v>1662</v>
      </c>
      <c r="H299" s="5" t="s">
        <v>1663</v>
      </c>
      <c r="I299" s="5" t="s">
        <v>1664</v>
      </c>
      <c r="J299" s="12" t="s">
        <v>160</v>
      </c>
      <c r="K299" s="4"/>
      <c r="L299" s="5" t="s">
        <v>1665</v>
      </c>
    </row>
    <row r="300" customFormat="false" ht="44" hidden="false" customHeight="false" outlineLevel="0" collapsed="false">
      <c r="A300" s="4" t="s">
        <v>0</v>
      </c>
      <c r="B300" s="5" t="s">
        <v>1233</v>
      </c>
      <c r="C300" s="6" t="s">
        <v>1234</v>
      </c>
      <c r="D300" s="7" t="s">
        <v>15</v>
      </c>
      <c r="E300" s="5" t="s">
        <v>1666</v>
      </c>
      <c r="F300" s="6" t="s">
        <v>1667</v>
      </c>
      <c r="G300" s="5" t="s">
        <v>1668</v>
      </c>
      <c r="H300" s="6" t="s">
        <v>1669</v>
      </c>
      <c r="I300" s="6" t="s">
        <v>1670</v>
      </c>
      <c r="J300" s="12" t="s">
        <v>160</v>
      </c>
      <c r="K300" s="4"/>
      <c r="L300" s="5" t="s">
        <v>1671</v>
      </c>
    </row>
    <row r="301" customFormat="false" ht="29.85" hidden="false" customHeight="false" outlineLevel="0" collapsed="false">
      <c r="A301" s="4" t="s">
        <v>0</v>
      </c>
      <c r="B301" s="5" t="s">
        <v>1233</v>
      </c>
      <c r="C301" s="6" t="s">
        <v>1234</v>
      </c>
      <c r="D301" s="7" t="s">
        <v>15</v>
      </c>
      <c r="E301" s="5" t="s">
        <v>1672</v>
      </c>
      <c r="F301" s="6" t="s">
        <v>1673</v>
      </c>
      <c r="G301" s="5" t="s">
        <v>1674</v>
      </c>
      <c r="H301" s="6" t="s">
        <v>1675</v>
      </c>
      <c r="I301" s="6" t="s">
        <v>1676</v>
      </c>
      <c r="J301" s="8" t="s">
        <v>21</v>
      </c>
      <c r="K301" s="4"/>
      <c r="L301" s="5" t="s">
        <v>1677</v>
      </c>
    </row>
    <row r="302" customFormat="false" ht="58.2" hidden="false" customHeight="false" outlineLevel="0" collapsed="false">
      <c r="A302" s="4" t="s">
        <v>0</v>
      </c>
      <c r="B302" s="5" t="s">
        <v>1233</v>
      </c>
      <c r="C302" s="6" t="s">
        <v>1234</v>
      </c>
      <c r="D302" s="7" t="s">
        <v>15</v>
      </c>
      <c r="E302" s="5" t="s">
        <v>1678</v>
      </c>
      <c r="F302" s="6" t="s">
        <v>1679</v>
      </c>
      <c r="G302" s="5" t="s">
        <v>1680</v>
      </c>
      <c r="H302" s="6" t="s">
        <v>1681</v>
      </c>
      <c r="I302" s="5" t="s">
        <v>1682</v>
      </c>
      <c r="J302" s="8" t="s">
        <v>21</v>
      </c>
      <c r="K302" s="4"/>
      <c r="L302" s="5" t="s">
        <v>1683</v>
      </c>
    </row>
    <row r="303" customFormat="false" ht="72.35" hidden="false" customHeight="false" outlineLevel="0" collapsed="false">
      <c r="A303" s="4" t="s">
        <v>0</v>
      </c>
      <c r="B303" s="5" t="s">
        <v>1233</v>
      </c>
      <c r="C303" s="6" t="s">
        <v>1234</v>
      </c>
      <c r="D303" s="7" t="s">
        <v>15</v>
      </c>
      <c r="E303" s="5" t="s">
        <v>1684</v>
      </c>
      <c r="F303" s="6" t="s">
        <v>1685</v>
      </c>
      <c r="G303" s="5" t="s">
        <v>1686</v>
      </c>
      <c r="H303" s="6" t="s">
        <v>1687</v>
      </c>
      <c r="I303" s="6" t="s">
        <v>1688</v>
      </c>
      <c r="J303" s="12" t="s">
        <v>160</v>
      </c>
      <c r="K303" s="4"/>
      <c r="L303" s="5" t="s">
        <v>1689</v>
      </c>
    </row>
    <row r="304" customFormat="false" ht="58.2" hidden="false" customHeight="false" outlineLevel="0" collapsed="false">
      <c r="A304" s="4" t="s">
        <v>0</v>
      </c>
      <c r="B304" s="5" t="s">
        <v>1233</v>
      </c>
      <c r="C304" s="6" t="s">
        <v>1234</v>
      </c>
      <c r="D304" s="7" t="s">
        <v>15</v>
      </c>
      <c r="E304" s="5" t="s">
        <v>1690</v>
      </c>
      <c r="F304" s="6" t="s">
        <v>1691</v>
      </c>
      <c r="G304" s="5" t="s">
        <v>1692</v>
      </c>
      <c r="H304" s="6" t="s">
        <v>1693</v>
      </c>
      <c r="I304" s="5" t="s">
        <v>1694</v>
      </c>
      <c r="J304" s="12" t="s">
        <v>160</v>
      </c>
      <c r="K304" s="4"/>
      <c r="L304" s="5" t="s">
        <v>1695</v>
      </c>
    </row>
    <row r="305" customFormat="false" ht="44" hidden="false" customHeight="false" outlineLevel="0" collapsed="false">
      <c r="A305" s="4" t="s">
        <v>0</v>
      </c>
      <c r="B305" s="5" t="s">
        <v>1233</v>
      </c>
      <c r="C305" s="6" t="s">
        <v>1234</v>
      </c>
      <c r="D305" s="7" t="s">
        <v>15</v>
      </c>
      <c r="E305" s="5" t="s">
        <v>1696</v>
      </c>
      <c r="F305" s="6" t="s">
        <v>1697</v>
      </c>
      <c r="G305" s="5" t="s">
        <v>1698</v>
      </c>
      <c r="H305" s="6" t="s">
        <v>1699</v>
      </c>
      <c r="I305" s="5" t="s">
        <v>1700</v>
      </c>
      <c r="J305" s="12" t="s">
        <v>160</v>
      </c>
      <c r="K305" s="4"/>
      <c r="L305" s="5" t="s">
        <v>1701</v>
      </c>
    </row>
    <row r="306" customFormat="false" ht="44" hidden="false" customHeight="false" outlineLevel="0" collapsed="false">
      <c r="A306" s="4" t="s">
        <v>0</v>
      </c>
      <c r="B306" s="5" t="s">
        <v>1233</v>
      </c>
      <c r="C306" s="6" t="s">
        <v>1234</v>
      </c>
      <c r="D306" s="7" t="s">
        <v>15</v>
      </c>
      <c r="E306" s="5" t="s">
        <v>1702</v>
      </c>
      <c r="F306" s="6" t="s">
        <v>1703</v>
      </c>
      <c r="G306" s="5" t="s">
        <v>1704</v>
      </c>
      <c r="H306" s="6" t="s">
        <v>1705</v>
      </c>
      <c r="I306" s="5" t="s">
        <v>1706</v>
      </c>
      <c r="J306" s="12" t="s">
        <v>160</v>
      </c>
      <c r="K306" s="4"/>
      <c r="L306" s="5" t="s">
        <v>1707</v>
      </c>
    </row>
    <row r="307" customFormat="false" ht="58.2" hidden="false" customHeight="false" outlineLevel="0" collapsed="false">
      <c r="A307" s="4" t="s">
        <v>0</v>
      </c>
      <c r="B307" s="5" t="s">
        <v>1233</v>
      </c>
      <c r="C307" s="6" t="s">
        <v>1234</v>
      </c>
      <c r="D307" s="7" t="s">
        <v>15</v>
      </c>
      <c r="E307" s="5" t="s">
        <v>1708</v>
      </c>
      <c r="F307" s="6" t="s">
        <v>1709</v>
      </c>
      <c r="G307" s="5" t="s">
        <v>1710</v>
      </c>
      <c r="H307" s="5" t="s">
        <v>1711</v>
      </c>
      <c r="I307" s="5" t="s">
        <v>1712</v>
      </c>
      <c r="J307" s="8" t="s">
        <v>21</v>
      </c>
      <c r="K307" s="4"/>
      <c r="L307" s="5" t="s">
        <v>1713</v>
      </c>
    </row>
    <row r="308" customFormat="false" ht="55.2" hidden="false" customHeight="false" outlineLevel="0" collapsed="false">
      <c r="A308" s="4" t="s">
        <v>0</v>
      </c>
      <c r="B308" s="5" t="s">
        <v>1233</v>
      </c>
      <c r="C308" s="6" t="s">
        <v>1234</v>
      </c>
      <c r="D308" s="7" t="s">
        <v>15</v>
      </c>
      <c r="E308" s="5" t="s">
        <v>1714</v>
      </c>
      <c r="F308" s="6" t="s">
        <v>1715</v>
      </c>
      <c r="G308" s="5" t="s">
        <v>1716</v>
      </c>
      <c r="H308" s="5" t="s">
        <v>1717</v>
      </c>
      <c r="I308" s="5" t="s">
        <v>1718</v>
      </c>
      <c r="J308" s="8" t="s">
        <v>21</v>
      </c>
      <c r="K308" s="4"/>
      <c r="L308" s="5" t="s">
        <v>1719</v>
      </c>
    </row>
    <row r="309" customFormat="false" ht="44" hidden="false" customHeight="false" outlineLevel="0" collapsed="false">
      <c r="A309" s="4" t="s">
        <v>0</v>
      </c>
      <c r="B309" s="5" t="s">
        <v>1233</v>
      </c>
      <c r="C309" s="6" t="s">
        <v>1234</v>
      </c>
      <c r="D309" s="7" t="s">
        <v>15</v>
      </c>
      <c r="E309" s="5" t="s">
        <v>1720</v>
      </c>
      <c r="F309" s="5" t="s">
        <v>1721</v>
      </c>
      <c r="G309" s="5" t="s">
        <v>1722</v>
      </c>
      <c r="H309" s="5" t="s">
        <v>1723</v>
      </c>
      <c r="I309" s="5" t="s">
        <v>1724</v>
      </c>
      <c r="J309" s="8" t="s">
        <v>21</v>
      </c>
      <c r="K309" s="4"/>
      <c r="L309" s="5" t="s">
        <v>1725</v>
      </c>
    </row>
    <row r="310" customFormat="false" ht="44" hidden="false" customHeight="false" outlineLevel="0" collapsed="false">
      <c r="A310" s="4" t="s">
        <v>0</v>
      </c>
      <c r="B310" s="5" t="s">
        <v>1233</v>
      </c>
      <c r="C310" s="6" t="s">
        <v>1234</v>
      </c>
      <c r="D310" s="7" t="s">
        <v>15</v>
      </c>
      <c r="E310" s="5" t="s">
        <v>1726</v>
      </c>
      <c r="F310" s="6" t="s">
        <v>1727</v>
      </c>
      <c r="G310" s="5" t="s">
        <v>1728</v>
      </c>
      <c r="H310" s="5" t="s">
        <v>1729</v>
      </c>
      <c r="I310" s="5" t="s">
        <v>1730</v>
      </c>
      <c r="J310" s="8" t="s">
        <v>21</v>
      </c>
      <c r="K310" s="4"/>
      <c r="L310" s="5" t="s">
        <v>1725</v>
      </c>
    </row>
    <row r="311" customFormat="false" ht="58.2" hidden="false" customHeight="false" outlineLevel="0" collapsed="false">
      <c r="A311" s="4" t="s">
        <v>0</v>
      </c>
      <c r="B311" s="5" t="s">
        <v>1233</v>
      </c>
      <c r="C311" s="6" t="s">
        <v>1234</v>
      </c>
      <c r="D311" s="7" t="s">
        <v>15</v>
      </c>
      <c r="E311" s="5" t="s">
        <v>1731</v>
      </c>
      <c r="F311" s="5" t="s">
        <v>1732</v>
      </c>
      <c r="G311" s="5" t="s">
        <v>1733</v>
      </c>
      <c r="H311" s="5" t="s">
        <v>1734</v>
      </c>
      <c r="I311" s="5" t="s">
        <v>1735</v>
      </c>
      <c r="J311" s="8" t="s">
        <v>21</v>
      </c>
      <c r="K311" s="4"/>
      <c r="L311" s="5" t="s">
        <v>1736</v>
      </c>
    </row>
    <row r="312" customFormat="false" ht="35.05" hidden="false" customHeight="false" outlineLevel="0" collapsed="false">
      <c r="A312" s="4" t="s">
        <v>0</v>
      </c>
      <c r="B312" s="5" t="s">
        <v>1233</v>
      </c>
      <c r="C312" s="6" t="s">
        <v>1234</v>
      </c>
      <c r="D312" s="7" t="s">
        <v>15</v>
      </c>
      <c r="E312" s="5" t="s">
        <v>1737</v>
      </c>
      <c r="F312" s="5" t="s">
        <v>1738</v>
      </c>
      <c r="G312" s="5" t="s">
        <v>1739</v>
      </c>
      <c r="H312" s="5" t="s">
        <v>1740</v>
      </c>
      <c r="I312" s="5" t="s">
        <v>1741</v>
      </c>
      <c r="J312" s="8" t="s">
        <v>21</v>
      </c>
      <c r="K312" s="4"/>
      <c r="L312" s="5" t="s">
        <v>1742</v>
      </c>
    </row>
    <row r="313" customFormat="false" ht="29.85" hidden="false" customHeight="false" outlineLevel="0" collapsed="false">
      <c r="A313" s="4" t="s">
        <v>0</v>
      </c>
      <c r="B313" s="5" t="s">
        <v>1233</v>
      </c>
      <c r="C313" s="6" t="s">
        <v>1234</v>
      </c>
      <c r="D313" s="7" t="s">
        <v>15</v>
      </c>
      <c r="E313" s="5" t="s">
        <v>1743</v>
      </c>
      <c r="F313" s="5" t="s">
        <v>1744</v>
      </c>
      <c r="G313" s="5" t="s">
        <v>1745</v>
      </c>
      <c r="H313" s="5" t="s">
        <v>1746</v>
      </c>
      <c r="I313" s="5" t="s">
        <v>1747</v>
      </c>
      <c r="J313" s="8" t="s">
        <v>21</v>
      </c>
      <c r="K313" s="4"/>
      <c r="L313" s="5" t="s">
        <v>1748</v>
      </c>
    </row>
    <row r="314" customFormat="false" ht="72.35" hidden="false" customHeight="false" outlineLevel="0" collapsed="false">
      <c r="A314" s="4" t="s">
        <v>0</v>
      </c>
      <c r="B314" s="5" t="s">
        <v>1233</v>
      </c>
      <c r="C314" s="6" t="s">
        <v>1234</v>
      </c>
      <c r="D314" s="7" t="s">
        <v>15</v>
      </c>
      <c r="E314" s="5" t="s">
        <v>1749</v>
      </c>
      <c r="F314" s="6" t="s">
        <v>1750</v>
      </c>
      <c r="G314" s="5" t="s">
        <v>1751</v>
      </c>
      <c r="H314" s="5" t="s">
        <v>1752</v>
      </c>
      <c r="I314" s="5" t="s">
        <v>1753</v>
      </c>
      <c r="J314" s="8" t="s">
        <v>21</v>
      </c>
      <c r="K314" s="4"/>
      <c r="L314" s="5" t="s">
        <v>1754</v>
      </c>
    </row>
    <row r="315" customFormat="false" ht="58.2" hidden="false" customHeight="false" outlineLevel="0" collapsed="false">
      <c r="A315" s="4" t="s">
        <v>0</v>
      </c>
      <c r="B315" s="5" t="s">
        <v>1233</v>
      </c>
      <c r="C315" s="6" t="s">
        <v>1234</v>
      </c>
      <c r="D315" s="7" t="s">
        <v>15</v>
      </c>
      <c r="E315" s="5" t="s">
        <v>1755</v>
      </c>
      <c r="F315" s="5" t="s">
        <v>1756</v>
      </c>
      <c r="G315" s="5" t="s">
        <v>1757</v>
      </c>
      <c r="H315" s="5" t="s">
        <v>1758</v>
      </c>
      <c r="I315" s="5" t="s">
        <v>1759</v>
      </c>
      <c r="J315" s="8" t="s">
        <v>21</v>
      </c>
      <c r="K315" s="4"/>
      <c r="L315" s="5" t="s">
        <v>1760</v>
      </c>
    </row>
    <row r="316" customFormat="false" ht="44" hidden="false" customHeight="false" outlineLevel="0" collapsed="false">
      <c r="A316" s="4" t="s">
        <v>0</v>
      </c>
      <c r="B316" s="5" t="s">
        <v>1233</v>
      </c>
      <c r="C316" s="6" t="s">
        <v>1234</v>
      </c>
      <c r="D316" s="7" t="s">
        <v>15</v>
      </c>
      <c r="E316" s="5" t="s">
        <v>1761</v>
      </c>
      <c r="F316" s="5" t="s">
        <v>1762</v>
      </c>
      <c r="G316" s="5" t="s">
        <v>1763</v>
      </c>
      <c r="H316" s="5" t="s">
        <v>1764</v>
      </c>
      <c r="I316" s="6" t="s">
        <v>1765</v>
      </c>
      <c r="J316" s="10" t="s">
        <v>56</v>
      </c>
      <c r="K316" s="4"/>
      <c r="L316" s="5" t="s">
        <v>1766</v>
      </c>
    </row>
    <row r="317" customFormat="false" ht="58.2" hidden="false" customHeight="false" outlineLevel="0" collapsed="false">
      <c r="A317" s="4" t="s">
        <v>0</v>
      </c>
      <c r="B317" s="5" t="s">
        <v>1233</v>
      </c>
      <c r="C317" s="6" t="s">
        <v>1234</v>
      </c>
      <c r="D317" s="7" t="s">
        <v>15</v>
      </c>
      <c r="E317" s="5" t="s">
        <v>1767</v>
      </c>
      <c r="F317" s="5" t="s">
        <v>1768</v>
      </c>
      <c r="G317" s="5" t="s">
        <v>1769</v>
      </c>
      <c r="H317" s="5" t="s">
        <v>1770</v>
      </c>
      <c r="I317" s="5" t="s">
        <v>1771</v>
      </c>
      <c r="J317" s="8" t="s">
        <v>21</v>
      </c>
      <c r="K317" s="4"/>
      <c r="L317" s="5" t="s">
        <v>1772</v>
      </c>
    </row>
    <row r="318" customFormat="false" ht="44" hidden="false" customHeight="false" outlineLevel="0" collapsed="false">
      <c r="A318" s="4" t="s">
        <v>0</v>
      </c>
      <c r="B318" s="5" t="s">
        <v>1233</v>
      </c>
      <c r="C318" s="6" t="s">
        <v>1234</v>
      </c>
      <c r="D318" s="7" t="s">
        <v>15</v>
      </c>
      <c r="E318" s="5" t="s">
        <v>1773</v>
      </c>
      <c r="F318" s="5" t="s">
        <v>1774</v>
      </c>
      <c r="G318" s="5" t="s">
        <v>1775</v>
      </c>
      <c r="H318" s="5" t="s">
        <v>1776</v>
      </c>
      <c r="I318" s="5" t="s">
        <v>1777</v>
      </c>
      <c r="J318" s="8" t="s">
        <v>21</v>
      </c>
      <c r="K318" s="4"/>
      <c r="L318" s="5" t="s">
        <v>1778</v>
      </c>
    </row>
    <row r="319" customFormat="false" ht="44" hidden="false" customHeight="false" outlineLevel="0" collapsed="false">
      <c r="A319" s="4" t="s">
        <v>0</v>
      </c>
      <c r="B319" s="5" t="s">
        <v>1233</v>
      </c>
      <c r="C319" s="6" t="s">
        <v>1234</v>
      </c>
      <c r="D319" s="7" t="s">
        <v>15</v>
      </c>
      <c r="E319" s="5" t="s">
        <v>1779</v>
      </c>
      <c r="F319" s="6" t="s">
        <v>1780</v>
      </c>
      <c r="G319" s="5" t="s">
        <v>1781</v>
      </c>
      <c r="H319" s="6" t="s">
        <v>1782</v>
      </c>
      <c r="I319" s="6" t="s">
        <v>1783</v>
      </c>
      <c r="J319" s="10" t="s">
        <v>56</v>
      </c>
      <c r="K319" s="4"/>
      <c r="L319" s="5" t="s">
        <v>1784</v>
      </c>
    </row>
    <row r="320" customFormat="false" ht="44" hidden="false" customHeight="false" outlineLevel="0" collapsed="false">
      <c r="A320" s="4" t="s">
        <v>0</v>
      </c>
      <c r="B320" s="5" t="s">
        <v>1233</v>
      </c>
      <c r="C320" s="6" t="s">
        <v>1234</v>
      </c>
      <c r="D320" s="7" t="s">
        <v>15</v>
      </c>
      <c r="E320" s="5" t="s">
        <v>1785</v>
      </c>
      <c r="F320" s="6" t="s">
        <v>1786</v>
      </c>
      <c r="G320" s="5" t="s">
        <v>1787</v>
      </c>
      <c r="H320" s="6" t="s">
        <v>1788</v>
      </c>
      <c r="I320" s="5" t="s">
        <v>1789</v>
      </c>
      <c r="J320" s="8" t="s">
        <v>21</v>
      </c>
      <c r="K320" s="4"/>
      <c r="L320" s="5" t="s">
        <v>1784</v>
      </c>
    </row>
    <row r="321" customFormat="false" ht="44" hidden="false" customHeight="false" outlineLevel="0" collapsed="false">
      <c r="A321" s="4" t="s">
        <v>0</v>
      </c>
      <c r="B321" s="5" t="s">
        <v>1233</v>
      </c>
      <c r="C321" s="6" t="s">
        <v>1234</v>
      </c>
      <c r="D321" s="7" t="s">
        <v>15</v>
      </c>
      <c r="E321" s="5" t="s">
        <v>1790</v>
      </c>
      <c r="F321" s="6" t="s">
        <v>1791</v>
      </c>
      <c r="G321" s="5" t="s">
        <v>1792</v>
      </c>
      <c r="H321" s="5" t="s">
        <v>1793</v>
      </c>
      <c r="I321" s="6" t="s">
        <v>1794</v>
      </c>
      <c r="J321" s="10" t="s">
        <v>56</v>
      </c>
      <c r="K321" s="4"/>
      <c r="L321" s="5" t="s">
        <v>1795</v>
      </c>
    </row>
    <row r="322" customFormat="false" ht="58.2" hidden="false" customHeight="false" outlineLevel="0" collapsed="false">
      <c r="A322" s="4" t="s">
        <v>0</v>
      </c>
      <c r="B322" s="5" t="s">
        <v>1233</v>
      </c>
      <c r="C322" s="6" t="s">
        <v>1234</v>
      </c>
      <c r="D322" s="7" t="s">
        <v>15</v>
      </c>
      <c r="E322" s="5" t="s">
        <v>1796</v>
      </c>
      <c r="F322" s="6" t="s">
        <v>1797</v>
      </c>
      <c r="G322" s="5" t="s">
        <v>1798</v>
      </c>
      <c r="H322" s="6" t="s">
        <v>1799</v>
      </c>
      <c r="I322" s="5" t="s">
        <v>1800</v>
      </c>
      <c r="J322" s="8" t="s">
        <v>21</v>
      </c>
      <c r="K322" s="4"/>
      <c r="L322" s="5" t="s">
        <v>1801</v>
      </c>
    </row>
    <row r="323" customFormat="false" ht="44" hidden="false" customHeight="false" outlineLevel="0" collapsed="false">
      <c r="A323" s="4" t="s">
        <v>0</v>
      </c>
      <c r="B323" s="5" t="s">
        <v>1233</v>
      </c>
      <c r="C323" s="6" t="s">
        <v>1234</v>
      </c>
      <c r="D323" s="7" t="s">
        <v>15</v>
      </c>
      <c r="E323" s="5" t="s">
        <v>1802</v>
      </c>
      <c r="F323" s="6" t="s">
        <v>1803</v>
      </c>
      <c r="G323" s="5" t="s">
        <v>1804</v>
      </c>
      <c r="H323" s="5" t="s">
        <v>1805</v>
      </c>
      <c r="I323" s="6" t="s">
        <v>1806</v>
      </c>
      <c r="J323" s="8" t="s">
        <v>21</v>
      </c>
      <c r="K323" s="4"/>
      <c r="L323" s="5" t="s">
        <v>1807</v>
      </c>
    </row>
    <row r="324" customFormat="false" ht="58.2" hidden="false" customHeight="false" outlineLevel="0" collapsed="false">
      <c r="A324" s="4" t="s">
        <v>0</v>
      </c>
      <c r="B324" s="5" t="s">
        <v>1233</v>
      </c>
      <c r="C324" s="6" t="s">
        <v>1234</v>
      </c>
      <c r="D324" s="7" t="s">
        <v>15</v>
      </c>
      <c r="E324" s="5" t="s">
        <v>1808</v>
      </c>
      <c r="F324" s="6" t="s">
        <v>1809</v>
      </c>
      <c r="G324" s="5" t="s">
        <v>1810</v>
      </c>
      <c r="H324" s="5" t="s">
        <v>1811</v>
      </c>
      <c r="I324" s="5" t="s">
        <v>1812</v>
      </c>
      <c r="J324" s="8" t="s">
        <v>21</v>
      </c>
      <c r="K324" s="4"/>
      <c r="L324" s="5" t="s">
        <v>1813</v>
      </c>
    </row>
    <row r="325" customFormat="false" ht="58.2" hidden="false" customHeight="false" outlineLevel="0" collapsed="false">
      <c r="A325" s="4" t="s">
        <v>0</v>
      </c>
      <c r="B325" s="5" t="s">
        <v>1233</v>
      </c>
      <c r="C325" s="6" t="s">
        <v>1234</v>
      </c>
      <c r="D325" s="7" t="s">
        <v>15</v>
      </c>
      <c r="E325" s="5" t="s">
        <v>1814</v>
      </c>
      <c r="F325" s="6" t="s">
        <v>1815</v>
      </c>
      <c r="G325" s="5" t="s">
        <v>1816</v>
      </c>
      <c r="H325" s="6" t="s">
        <v>1817</v>
      </c>
      <c r="I325" s="6" t="s">
        <v>1818</v>
      </c>
      <c r="J325" s="8" t="s">
        <v>21</v>
      </c>
      <c r="K325" s="4"/>
      <c r="L325" s="5" t="s">
        <v>1819</v>
      </c>
    </row>
    <row r="326" customFormat="false" ht="55.2" hidden="false" customHeight="false" outlineLevel="0" collapsed="false">
      <c r="A326" s="4" t="s">
        <v>0</v>
      </c>
      <c r="B326" s="5" t="s">
        <v>1233</v>
      </c>
      <c r="C326" s="6" t="s">
        <v>1234</v>
      </c>
      <c r="D326" s="7" t="s">
        <v>15</v>
      </c>
      <c r="E326" s="5" t="s">
        <v>1820</v>
      </c>
      <c r="F326" s="6" t="s">
        <v>1821</v>
      </c>
      <c r="G326" s="5" t="s">
        <v>1822</v>
      </c>
      <c r="H326" s="5" t="s">
        <v>1823</v>
      </c>
      <c r="I326" s="6" t="s">
        <v>1824</v>
      </c>
      <c r="J326" s="8" t="s">
        <v>21</v>
      </c>
      <c r="K326" s="4"/>
      <c r="L326" s="5" t="s">
        <v>1825</v>
      </c>
    </row>
    <row r="327" customFormat="false" ht="41" hidden="false" customHeight="false" outlineLevel="0" collapsed="false">
      <c r="A327" s="4" t="s">
        <v>0</v>
      </c>
      <c r="B327" s="5" t="s">
        <v>1233</v>
      </c>
      <c r="C327" s="6" t="s">
        <v>1234</v>
      </c>
      <c r="D327" s="7" t="s">
        <v>15</v>
      </c>
      <c r="E327" s="5" t="s">
        <v>1826</v>
      </c>
      <c r="F327" s="5" t="s">
        <v>1827</v>
      </c>
      <c r="G327" s="5" t="s">
        <v>1828</v>
      </c>
      <c r="H327" s="5" t="s">
        <v>1829</v>
      </c>
      <c r="I327" s="6" t="s">
        <v>1830</v>
      </c>
      <c r="J327" s="10" t="s">
        <v>56</v>
      </c>
      <c r="K327" s="4"/>
      <c r="L327" s="5" t="s">
        <v>1831</v>
      </c>
    </row>
    <row r="328" customFormat="false" ht="55.2" hidden="false" customHeight="false" outlineLevel="0" collapsed="false">
      <c r="A328" s="4" t="s">
        <v>0</v>
      </c>
      <c r="B328" s="5" t="s">
        <v>1233</v>
      </c>
      <c r="C328" s="6" t="s">
        <v>1234</v>
      </c>
      <c r="D328" s="7" t="s">
        <v>15</v>
      </c>
      <c r="E328" s="5" t="s">
        <v>1832</v>
      </c>
      <c r="F328" s="6" t="s">
        <v>1833</v>
      </c>
      <c r="G328" s="5" t="s">
        <v>1834</v>
      </c>
      <c r="H328" s="5" t="s">
        <v>1835</v>
      </c>
      <c r="I328" s="6" t="s">
        <v>1836</v>
      </c>
      <c r="J328" s="8" t="s">
        <v>21</v>
      </c>
      <c r="K328" s="4"/>
      <c r="L328" s="5" t="s">
        <v>1837</v>
      </c>
    </row>
    <row r="329" customFormat="false" ht="55.2" hidden="false" customHeight="false" outlineLevel="0" collapsed="false">
      <c r="A329" s="4" t="s">
        <v>0</v>
      </c>
      <c r="B329" s="5" t="s">
        <v>1233</v>
      </c>
      <c r="C329" s="6" t="s">
        <v>1234</v>
      </c>
      <c r="D329" s="7" t="s">
        <v>15</v>
      </c>
      <c r="E329" s="5" t="s">
        <v>1838</v>
      </c>
      <c r="F329" s="6" t="s">
        <v>1839</v>
      </c>
      <c r="G329" s="5" t="s">
        <v>1840</v>
      </c>
      <c r="H329" s="5" t="s">
        <v>1841</v>
      </c>
      <c r="I329" s="6" t="s">
        <v>1842</v>
      </c>
      <c r="J329" s="8" t="s">
        <v>21</v>
      </c>
      <c r="K329" s="4"/>
      <c r="L329" s="5" t="s">
        <v>1843</v>
      </c>
    </row>
    <row r="330" customFormat="false" ht="44" hidden="false" customHeight="false" outlineLevel="0" collapsed="false">
      <c r="A330" s="4" t="s">
        <v>0</v>
      </c>
      <c r="B330" s="5" t="s">
        <v>1233</v>
      </c>
      <c r="C330" s="6" t="s">
        <v>1234</v>
      </c>
      <c r="D330" s="7" t="s">
        <v>15</v>
      </c>
      <c r="E330" s="5" t="s">
        <v>1844</v>
      </c>
      <c r="F330" s="6" t="s">
        <v>1845</v>
      </c>
      <c r="G330" s="5" t="s">
        <v>1846</v>
      </c>
      <c r="H330" s="6" t="s">
        <v>1847</v>
      </c>
      <c r="I330" s="5" t="s">
        <v>1848</v>
      </c>
      <c r="J330" s="8" t="s">
        <v>21</v>
      </c>
      <c r="K330" s="4"/>
      <c r="L330" s="5" t="s">
        <v>1849</v>
      </c>
    </row>
    <row r="331" customFormat="false" ht="58.2" hidden="false" customHeight="false" outlineLevel="0" collapsed="false">
      <c r="A331" s="4" t="s">
        <v>0</v>
      </c>
      <c r="B331" s="5" t="s">
        <v>1233</v>
      </c>
      <c r="C331" s="6" t="s">
        <v>1234</v>
      </c>
      <c r="D331" s="7" t="s">
        <v>15</v>
      </c>
      <c r="E331" s="5" t="s">
        <v>1850</v>
      </c>
      <c r="F331" s="5" t="s">
        <v>1851</v>
      </c>
      <c r="G331" s="5" t="s">
        <v>1852</v>
      </c>
      <c r="H331" s="5" t="s">
        <v>1853</v>
      </c>
      <c r="I331" s="5" t="s">
        <v>1854</v>
      </c>
      <c r="J331" s="8" t="s">
        <v>21</v>
      </c>
      <c r="K331" s="4"/>
      <c r="L331" s="5" t="s">
        <v>1855</v>
      </c>
    </row>
    <row r="332" customFormat="false" ht="44" hidden="false" customHeight="false" outlineLevel="0" collapsed="false">
      <c r="A332" s="4" t="s">
        <v>0</v>
      </c>
      <c r="B332" s="5" t="s">
        <v>1233</v>
      </c>
      <c r="C332" s="6" t="s">
        <v>1234</v>
      </c>
      <c r="D332" s="7" t="s">
        <v>15</v>
      </c>
      <c r="E332" s="5" t="s">
        <v>1856</v>
      </c>
      <c r="F332" s="5" t="s">
        <v>1857</v>
      </c>
      <c r="G332" s="5" t="s">
        <v>1858</v>
      </c>
      <c r="H332" s="5" t="s">
        <v>1859</v>
      </c>
      <c r="I332" s="5" t="s">
        <v>1860</v>
      </c>
      <c r="J332" s="8" t="s">
        <v>21</v>
      </c>
      <c r="K332" s="4"/>
      <c r="L332" s="5" t="s">
        <v>1861</v>
      </c>
    </row>
    <row r="333" customFormat="false" ht="44" hidden="false" customHeight="false" outlineLevel="0" collapsed="false">
      <c r="A333" s="4" t="s">
        <v>0</v>
      </c>
      <c r="B333" s="5" t="s">
        <v>1233</v>
      </c>
      <c r="C333" s="6" t="s">
        <v>1234</v>
      </c>
      <c r="D333" s="7" t="s">
        <v>15</v>
      </c>
      <c r="E333" s="5" t="s">
        <v>1862</v>
      </c>
      <c r="F333" s="5" t="s">
        <v>1863</v>
      </c>
      <c r="G333" s="5" t="s">
        <v>1864</v>
      </c>
      <c r="H333" s="5" t="s">
        <v>1865</v>
      </c>
      <c r="I333" s="5" t="s">
        <v>1866</v>
      </c>
      <c r="J333" s="8" t="s">
        <v>21</v>
      </c>
      <c r="K333" s="4"/>
      <c r="L333" s="5" t="s">
        <v>1867</v>
      </c>
    </row>
    <row r="334" customFormat="false" ht="58.2" hidden="false" customHeight="false" outlineLevel="0" collapsed="false">
      <c r="A334" s="4" t="s">
        <v>0</v>
      </c>
      <c r="B334" s="5" t="s">
        <v>1233</v>
      </c>
      <c r="C334" s="6" t="s">
        <v>1234</v>
      </c>
      <c r="D334" s="7" t="s">
        <v>15</v>
      </c>
      <c r="E334" s="5" t="s">
        <v>1868</v>
      </c>
      <c r="F334" s="6" t="s">
        <v>1869</v>
      </c>
      <c r="G334" s="5" t="s">
        <v>1870</v>
      </c>
      <c r="H334" s="6" t="s">
        <v>1871</v>
      </c>
      <c r="I334" s="6" t="s">
        <v>1872</v>
      </c>
      <c r="J334" s="12" t="s">
        <v>160</v>
      </c>
      <c r="K334" s="4"/>
      <c r="L334" s="5" t="s">
        <v>1873</v>
      </c>
    </row>
    <row r="335" customFormat="false" ht="29.85" hidden="false" customHeight="false" outlineLevel="0" collapsed="false">
      <c r="A335" s="4" t="s">
        <v>0</v>
      </c>
      <c r="B335" s="5" t="s">
        <v>1233</v>
      </c>
      <c r="C335" s="6" t="s">
        <v>1234</v>
      </c>
      <c r="D335" s="7" t="s">
        <v>15</v>
      </c>
      <c r="E335" s="5" t="s">
        <v>1874</v>
      </c>
      <c r="F335" s="6" t="s">
        <v>1875</v>
      </c>
      <c r="G335" s="5" t="s">
        <v>1876</v>
      </c>
      <c r="H335" s="5" t="s">
        <v>1877</v>
      </c>
      <c r="I335" s="6" t="s">
        <v>1878</v>
      </c>
      <c r="J335" s="10" t="s">
        <v>56</v>
      </c>
      <c r="K335" s="4"/>
      <c r="L335" s="5" t="s">
        <v>1879</v>
      </c>
    </row>
    <row r="336" customFormat="false" ht="58.2" hidden="false" customHeight="false" outlineLevel="0" collapsed="false">
      <c r="A336" s="4" t="s">
        <v>0</v>
      </c>
      <c r="B336" s="5" t="s">
        <v>1233</v>
      </c>
      <c r="C336" s="6" t="s">
        <v>1234</v>
      </c>
      <c r="D336" s="7" t="s">
        <v>15</v>
      </c>
      <c r="E336" s="5" t="s">
        <v>1880</v>
      </c>
      <c r="F336" s="5" t="s">
        <v>1881</v>
      </c>
      <c r="G336" s="5" t="s">
        <v>1882</v>
      </c>
      <c r="H336" s="5" t="s">
        <v>1883</v>
      </c>
      <c r="I336" s="5" t="s">
        <v>1884</v>
      </c>
      <c r="J336" s="8" t="s">
        <v>21</v>
      </c>
      <c r="K336" s="4"/>
      <c r="L336" s="5" t="s">
        <v>1885</v>
      </c>
    </row>
    <row r="337" customFormat="false" ht="29.85" hidden="false" customHeight="false" outlineLevel="0" collapsed="false">
      <c r="A337" s="4" t="s">
        <v>0</v>
      </c>
      <c r="B337" s="5" t="s">
        <v>1233</v>
      </c>
      <c r="C337" s="6" t="s">
        <v>1234</v>
      </c>
      <c r="D337" s="7" t="s">
        <v>15</v>
      </c>
      <c r="E337" s="5" t="s">
        <v>1886</v>
      </c>
      <c r="F337" s="5" t="s">
        <v>1887</v>
      </c>
      <c r="G337" s="5" t="s">
        <v>1888</v>
      </c>
      <c r="H337" s="5" t="s">
        <v>1889</v>
      </c>
      <c r="I337" s="6" t="s">
        <v>1890</v>
      </c>
      <c r="J337" s="10" t="s">
        <v>56</v>
      </c>
      <c r="K337" s="4"/>
      <c r="L337" s="5" t="s">
        <v>1885</v>
      </c>
    </row>
    <row r="338" customFormat="false" ht="44" hidden="false" customHeight="false" outlineLevel="0" collapsed="false">
      <c r="A338" s="4" t="s">
        <v>0</v>
      </c>
      <c r="B338" s="5" t="s">
        <v>1233</v>
      </c>
      <c r="C338" s="6" t="s">
        <v>1234</v>
      </c>
      <c r="D338" s="7" t="s">
        <v>15</v>
      </c>
      <c r="E338" s="5" t="s">
        <v>1891</v>
      </c>
      <c r="F338" s="6" t="s">
        <v>1892</v>
      </c>
      <c r="G338" s="5" t="s">
        <v>1893</v>
      </c>
      <c r="H338" s="6" t="s">
        <v>1894</v>
      </c>
      <c r="I338" s="5" t="s">
        <v>1895</v>
      </c>
      <c r="J338" s="8" t="s">
        <v>21</v>
      </c>
      <c r="K338" s="4"/>
      <c r="L338" s="5" t="s">
        <v>1896</v>
      </c>
    </row>
    <row r="339" customFormat="false" ht="58.2" hidden="false" customHeight="false" outlineLevel="0" collapsed="false">
      <c r="A339" s="4" t="s">
        <v>0</v>
      </c>
      <c r="B339" s="5" t="s">
        <v>1233</v>
      </c>
      <c r="C339" s="6" t="s">
        <v>1234</v>
      </c>
      <c r="D339" s="7" t="s">
        <v>15</v>
      </c>
      <c r="E339" s="5" t="s">
        <v>1897</v>
      </c>
      <c r="F339" s="6" t="s">
        <v>1898</v>
      </c>
      <c r="G339" s="5" t="s">
        <v>1899</v>
      </c>
      <c r="H339" s="6" t="s">
        <v>1900</v>
      </c>
      <c r="I339" s="5" t="s">
        <v>1901</v>
      </c>
      <c r="J339" s="12" t="s">
        <v>160</v>
      </c>
      <c r="K339" s="4"/>
      <c r="L339" s="5" t="s">
        <v>1902</v>
      </c>
    </row>
    <row r="340" customFormat="false" ht="58.2" hidden="false" customHeight="false" outlineLevel="0" collapsed="false">
      <c r="A340" s="4" t="s">
        <v>0</v>
      </c>
      <c r="B340" s="5" t="s">
        <v>1233</v>
      </c>
      <c r="C340" s="6" t="s">
        <v>1234</v>
      </c>
      <c r="D340" s="7" t="s">
        <v>15</v>
      </c>
      <c r="E340" s="5" t="s">
        <v>1903</v>
      </c>
      <c r="F340" s="6" t="s">
        <v>1904</v>
      </c>
      <c r="G340" s="5" t="s">
        <v>1905</v>
      </c>
      <c r="H340" s="6" t="s">
        <v>1906</v>
      </c>
      <c r="I340" s="6" t="s">
        <v>1907</v>
      </c>
      <c r="J340" s="12" t="s">
        <v>160</v>
      </c>
      <c r="K340" s="4"/>
      <c r="L340" s="5" t="s">
        <v>1908</v>
      </c>
    </row>
    <row r="341" customFormat="false" ht="44" hidden="false" customHeight="false" outlineLevel="0" collapsed="false">
      <c r="A341" s="4" t="s">
        <v>0</v>
      </c>
      <c r="B341" s="5" t="s">
        <v>1233</v>
      </c>
      <c r="C341" s="6" t="s">
        <v>1234</v>
      </c>
      <c r="D341" s="7" t="s">
        <v>15</v>
      </c>
      <c r="E341" s="5" t="s">
        <v>1909</v>
      </c>
      <c r="F341" s="6" t="s">
        <v>1910</v>
      </c>
      <c r="G341" s="5" t="s">
        <v>1911</v>
      </c>
      <c r="H341" s="6" t="s">
        <v>1912</v>
      </c>
      <c r="I341" s="6" t="s">
        <v>1913</v>
      </c>
      <c r="J341" s="12" t="s">
        <v>160</v>
      </c>
      <c r="K341" s="4"/>
      <c r="L341" s="5" t="s">
        <v>1914</v>
      </c>
    </row>
    <row r="342" customFormat="false" ht="58.2" hidden="false" customHeight="false" outlineLevel="0" collapsed="false">
      <c r="A342" s="4" t="s">
        <v>0</v>
      </c>
      <c r="B342" s="5" t="s">
        <v>1233</v>
      </c>
      <c r="C342" s="6" t="s">
        <v>1234</v>
      </c>
      <c r="D342" s="7" t="s">
        <v>15</v>
      </c>
      <c r="E342" s="5" t="s">
        <v>1915</v>
      </c>
      <c r="F342" s="6" t="s">
        <v>1916</v>
      </c>
      <c r="G342" s="5" t="s">
        <v>1917</v>
      </c>
      <c r="H342" s="6" t="s">
        <v>1918</v>
      </c>
      <c r="I342" s="6" t="s">
        <v>1919</v>
      </c>
      <c r="J342" s="12" t="s">
        <v>160</v>
      </c>
      <c r="K342" s="4"/>
      <c r="L342" s="5" t="s">
        <v>1920</v>
      </c>
    </row>
    <row r="343" customFormat="false" ht="44" hidden="false" customHeight="false" outlineLevel="0" collapsed="false">
      <c r="A343" s="4" t="s">
        <v>0</v>
      </c>
      <c r="B343" s="5" t="s">
        <v>1233</v>
      </c>
      <c r="C343" s="6" t="s">
        <v>1234</v>
      </c>
      <c r="D343" s="7" t="s">
        <v>15</v>
      </c>
      <c r="E343" s="5" t="s">
        <v>1921</v>
      </c>
      <c r="F343" s="6" t="s">
        <v>1922</v>
      </c>
      <c r="G343" s="5" t="s">
        <v>1923</v>
      </c>
      <c r="H343" s="6" t="s">
        <v>1924</v>
      </c>
      <c r="I343" s="6" t="s">
        <v>1925</v>
      </c>
      <c r="J343" s="10" t="s">
        <v>56</v>
      </c>
      <c r="K343" s="4"/>
      <c r="L343" s="5" t="s">
        <v>1926</v>
      </c>
    </row>
    <row r="344" customFormat="false" ht="44" hidden="false" customHeight="false" outlineLevel="0" collapsed="false">
      <c r="A344" s="4" t="s">
        <v>0</v>
      </c>
      <c r="B344" s="5" t="s">
        <v>1233</v>
      </c>
      <c r="C344" s="6" t="s">
        <v>1234</v>
      </c>
      <c r="D344" s="7" t="s">
        <v>15</v>
      </c>
      <c r="E344" s="5" t="s">
        <v>1927</v>
      </c>
      <c r="F344" s="6" t="s">
        <v>1928</v>
      </c>
      <c r="G344" s="5" t="s">
        <v>1929</v>
      </c>
      <c r="H344" s="6" t="s">
        <v>1930</v>
      </c>
      <c r="I344" s="5" t="s">
        <v>1931</v>
      </c>
      <c r="J344" s="8" t="s">
        <v>21</v>
      </c>
      <c r="K344" s="4"/>
      <c r="L344" s="5" t="s">
        <v>1932</v>
      </c>
    </row>
    <row r="345" customFormat="false" ht="44" hidden="false" customHeight="false" outlineLevel="0" collapsed="false">
      <c r="A345" s="4" t="s">
        <v>0</v>
      </c>
      <c r="B345" s="5" t="s">
        <v>1233</v>
      </c>
      <c r="C345" s="6" t="s">
        <v>1234</v>
      </c>
      <c r="D345" s="7" t="s">
        <v>15</v>
      </c>
      <c r="E345" s="5" t="s">
        <v>1933</v>
      </c>
      <c r="F345" s="6" t="s">
        <v>1934</v>
      </c>
      <c r="G345" s="5" t="s">
        <v>1935</v>
      </c>
      <c r="H345" s="6" t="s">
        <v>1936</v>
      </c>
      <c r="I345" s="5" t="s">
        <v>1937</v>
      </c>
      <c r="J345" s="8" t="s">
        <v>21</v>
      </c>
      <c r="K345" s="4"/>
      <c r="L345" s="5" t="s">
        <v>1938</v>
      </c>
    </row>
    <row r="346" customFormat="false" ht="44" hidden="false" customHeight="false" outlineLevel="0" collapsed="false">
      <c r="A346" s="4" t="s">
        <v>0</v>
      </c>
      <c r="B346" s="5" t="s">
        <v>1233</v>
      </c>
      <c r="C346" s="6" t="s">
        <v>1234</v>
      </c>
      <c r="D346" s="7" t="s">
        <v>15</v>
      </c>
      <c r="E346" s="5" t="s">
        <v>1939</v>
      </c>
      <c r="F346" s="6" t="s">
        <v>1940</v>
      </c>
      <c r="G346" s="5" t="s">
        <v>1941</v>
      </c>
      <c r="H346" s="6" t="s">
        <v>1942</v>
      </c>
      <c r="I346" s="5" t="s">
        <v>1943</v>
      </c>
      <c r="J346" s="8" t="s">
        <v>21</v>
      </c>
      <c r="K346" s="4"/>
      <c r="L346" s="5" t="s">
        <v>1944</v>
      </c>
    </row>
    <row r="347" customFormat="false" ht="44" hidden="false" customHeight="false" outlineLevel="0" collapsed="false">
      <c r="A347" s="4" t="s">
        <v>0</v>
      </c>
      <c r="B347" s="5" t="s">
        <v>1233</v>
      </c>
      <c r="C347" s="6" t="s">
        <v>1234</v>
      </c>
      <c r="D347" s="7" t="s">
        <v>15</v>
      </c>
      <c r="E347" s="5" t="s">
        <v>1945</v>
      </c>
      <c r="F347" s="6" t="s">
        <v>1946</v>
      </c>
      <c r="G347" s="5" t="s">
        <v>1947</v>
      </c>
      <c r="H347" s="5" t="s">
        <v>1948</v>
      </c>
      <c r="I347" s="5" t="s">
        <v>1949</v>
      </c>
      <c r="J347" s="8" t="s">
        <v>21</v>
      </c>
      <c r="K347" s="4"/>
      <c r="L347" s="5" t="s">
        <v>1950</v>
      </c>
    </row>
    <row r="348" customFormat="false" ht="44" hidden="false" customHeight="false" outlineLevel="0" collapsed="false">
      <c r="A348" s="4" t="s">
        <v>0</v>
      </c>
      <c r="B348" s="5" t="s">
        <v>1233</v>
      </c>
      <c r="C348" s="6" t="s">
        <v>1234</v>
      </c>
      <c r="D348" s="7" t="s">
        <v>15</v>
      </c>
      <c r="E348" s="5" t="s">
        <v>1951</v>
      </c>
      <c r="F348" s="6" t="s">
        <v>1952</v>
      </c>
      <c r="G348" s="5" t="s">
        <v>1953</v>
      </c>
      <c r="H348" s="6" t="s">
        <v>1954</v>
      </c>
      <c r="I348" s="5" t="s">
        <v>1955</v>
      </c>
      <c r="J348" s="12" t="s">
        <v>160</v>
      </c>
      <c r="K348" s="4"/>
      <c r="L348" s="5" t="s">
        <v>1956</v>
      </c>
    </row>
    <row r="349" customFormat="false" ht="44" hidden="false" customHeight="false" outlineLevel="0" collapsed="false">
      <c r="A349" s="4" t="s">
        <v>0</v>
      </c>
      <c r="B349" s="5" t="s">
        <v>1233</v>
      </c>
      <c r="C349" s="6" t="s">
        <v>1234</v>
      </c>
      <c r="D349" s="7" t="s">
        <v>15</v>
      </c>
      <c r="E349" s="5" t="s">
        <v>1957</v>
      </c>
      <c r="F349" s="6" t="s">
        <v>1958</v>
      </c>
      <c r="G349" s="5" t="s">
        <v>1959</v>
      </c>
      <c r="H349" s="6" t="s">
        <v>1960</v>
      </c>
      <c r="I349" s="6" t="s">
        <v>1961</v>
      </c>
      <c r="J349" s="8" t="s">
        <v>21</v>
      </c>
      <c r="K349" s="4" t="s">
        <v>1240</v>
      </c>
      <c r="L349" s="5" t="s">
        <v>1962</v>
      </c>
    </row>
    <row r="350" customFormat="false" ht="35.05" hidden="false" customHeight="false" outlineLevel="0" collapsed="false">
      <c r="A350" s="4" t="s">
        <v>0</v>
      </c>
      <c r="B350" s="5" t="s">
        <v>1233</v>
      </c>
      <c r="C350" s="6" t="s">
        <v>1234</v>
      </c>
      <c r="D350" s="7" t="s">
        <v>15</v>
      </c>
      <c r="E350" s="5" t="s">
        <v>1963</v>
      </c>
      <c r="F350" s="6" t="s">
        <v>1964</v>
      </c>
      <c r="G350" s="5" t="s">
        <v>1965</v>
      </c>
      <c r="H350" s="5" t="s">
        <v>1966</v>
      </c>
      <c r="I350" s="5" t="s">
        <v>1967</v>
      </c>
      <c r="J350" s="8" t="s">
        <v>21</v>
      </c>
      <c r="K350" s="4"/>
      <c r="L350" s="5" t="s">
        <v>1968</v>
      </c>
    </row>
    <row r="351" customFormat="false" ht="58.2" hidden="false" customHeight="false" outlineLevel="0" collapsed="false">
      <c r="A351" s="4" t="s">
        <v>0</v>
      </c>
      <c r="B351" s="5" t="s">
        <v>1233</v>
      </c>
      <c r="C351" s="6" t="s">
        <v>1234</v>
      </c>
      <c r="D351" s="7" t="s">
        <v>15</v>
      </c>
      <c r="E351" s="5" t="s">
        <v>1969</v>
      </c>
      <c r="F351" s="6" t="s">
        <v>1970</v>
      </c>
      <c r="G351" s="5" t="s">
        <v>1971</v>
      </c>
      <c r="H351" s="6" t="s">
        <v>1972</v>
      </c>
      <c r="I351" s="5" t="s">
        <v>1973</v>
      </c>
      <c r="J351" s="8" t="s">
        <v>21</v>
      </c>
      <c r="K351" s="4"/>
      <c r="L351" s="5" t="s">
        <v>1974</v>
      </c>
    </row>
    <row r="352" customFormat="false" ht="44" hidden="false" customHeight="false" outlineLevel="0" collapsed="false">
      <c r="A352" s="4" t="s">
        <v>0</v>
      </c>
      <c r="B352" s="5" t="s">
        <v>1233</v>
      </c>
      <c r="C352" s="6" t="s">
        <v>1234</v>
      </c>
      <c r="D352" s="7" t="s">
        <v>15</v>
      </c>
      <c r="E352" s="5" t="s">
        <v>1975</v>
      </c>
      <c r="F352" s="5" t="s">
        <v>1976</v>
      </c>
      <c r="G352" s="5" t="s">
        <v>1977</v>
      </c>
      <c r="H352" s="6" t="s">
        <v>1978</v>
      </c>
      <c r="I352" s="6" t="s">
        <v>1979</v>
      </c>
      <c r="J352" s="10" t="s">
        <v>56</v>
      </c>
      <c r="K352" s="4"/>
      <c r="L352" s="5" t="s">
        <v>1980</v>
      </c>
    </row>
    <row r="353" customFormat="false" ht="29.85" hidden="false" customHeight="false" outlineLevel="0" collapsed="false">
      <c r="A353" s="4" t="s">
        <v>0</v>
      </c>
      <c r="B353" s="5" t="s">
        <v>1233</v>
      </c>
      <c r="C353" s="6" t="s">
        <v>1234</v>
      </c>
      <c r="D353" s="7" t="s">
        <v>15</v>
      </c>
      <c r="E353" s="5" t="s">
        <v>1981</v>
      </c>
      <c r="F353" s="6" t="s">
        <v>1982</v>
      </c>
      <c r="G353" s="5" t="s">
        <v>1983</v>
      </c>
      <c r="H353" s="6" t="s">
        <v>1984</v>
      </c>
      <c r="I353" s="6" t="s">
        <v>1985</v>
      </c>
      <c r="J353" s="10" t="s">
        <v>56</v>
      </c>
      <c r="K353" s="4"/>
      <c r="L353" s="5" t="s">
        <v>1980</v>
      </c>
    </row>
    <row r="354" customFormat="false" ht="29.85" hidden="false" customHeight="false" outlineLevel="0" collapsed="false">
      <c r="A354" s="4" t="s">
        <v>0</v>
      </c>
      <c r="B354" s="5" t="s">
        <v>1233</v>
      </c>
      <c r="C354" s="6" t="s">
        <v>1234</v>
      </c>
      <c r="D354" s="9" t="s">
        <v>29</v>
      </c>
      <c r="E354" s="5" t="s">
        <v>1986</v>
      </c>
      <c r="F354" s="6" t="s">
        <v>1987</v>
      </c>
      <c r="G354" s="5" t="s">
        <v>1988</v>
      </c>
      <c r="H354" s="6" t="s">
        <v>1989</v>
      </c>
      <c r="I354" s="5" t="s">
        <v>1990</v>
      </c>
      <c r="J354" s="12" t="s">
        <v>160</v>
      </c>
      <c r="K354" s="4"/>
      <c r="L354" s="5" t="s">
        <v>1991</v>
      </c>
    </row>
    <row r="355" customFormat="false" ht="58.2" hidden="false" customHeight="false" outlineLevel="0" collapsed="false">
      <c r="A355" s="4" t="s">
        <v>0</v>
      </c>
      <c r="B355" s="5" t="s">
        <v>1233</v>
      </c>
      <c r="C355" s="6" t="s">
        <v>1234</v>
      </c>
      <c r="D355" s="9" t="s">
        <v>29</v>
      </c>
      <c r="E355" s="5" t="s">
        <v>1992</v>
      </c>
      <c r="F355" s="5" t="s">
        <v>1993</v>
      </c>
      <c r="G355" s="5" t="s">
        <v>1994</v>
      </c>
      <c r="H355" s="6" t="s">
        <v>1995</v>
      </c>
      <c r="I355" s="5" t="s">
        <v>1996</v>
      </c>
      <c r="J355" s="8" t="s">
        <v>21</v>
      </c>
      <c r="K355" s="4"/>
      <c r="L355" s="5" t="s">
        <v>1997</v>
      </c>
    </row>
    <row r="356" customFormat="false" ht="58.2" hidden="false" customHeight="false" outlineLevel="0" collapsed="false">
      <c r="A356" s="4" t="s">
        <v>0</v>
      </c>
      <c r="B356" s="5" t="s">
        <v>1233</v>
      </c>
      <c r="C356" s="6" t="s">
        <v>1234</v>
      </c>
      <c r="D356" s="9" t="s">
        <v>29</v>
      </c>
      <c r="E356" s="5" t="s">
        <v>1998</v>
      </c>
      <c r="F356" s="6" t="s">
        <v>1999</v>
      </c>
      <c r="G356" s="5" t="s">
        <v>2000</v>
      </c>
      <c r="H356" s="6" t="s">
        <v>2001</v>
      </c>
      <c r="I356" s="5" t="s">
        <v>2002</v>
      </c>
      <c r="J356" s="12" t="s">
        <v>160</v>
      </c>
      <c r="K356" s="4"/>
      <c r="L356" s="5" t="s">
        <v>2003</v>
      </c>
    </row>
    <row r="357" customFormat="false" ht="55.2" hidden="false" customHeight="false" outlineLevel="0" collapsed="false">
      <c r="A357" s="4" t="s">
        <v>0</v>
      </c>
      <c r="B357" s="5" t="s">
        <v>1233</v>
      </c>
      <c r="C357" s="6" t="s">
        <v>1234</v>
      </c>
      <c r="D357" s="9" t="s">
        <v>29</v>
      </c>
      <c r="E357" s="5" t="s">
        <v>2004</v>
      </c>
      <c r="F357" s="6" t="s">
        <v>2005</v>
      </c>
      <c r="G357" s="5" t="s">
        <v>2006</v>
      </c>
      <c r="H357" s="6" t="s">
        <v>2007</v>
      </c>
      <c r="I357" s="5" t="s">
        <v>2008</v>
      </c>
      <c r="J357" s="12" t="s">
        <v>160</v>
      </c>
      <c r="K357" s="4"/>
      <c r="L357" s="5" t="s">
        <v>2003</v>
      </c>
    </row>
    <row r="358" customFormat="false" ht="41" hidden="false" customHeight="false" outlineLevel="0" collapsed="false">
      <c r="A358" s="4" t="s">
        <v>0</v>
      </c>
      <c r="B358" s="5" t="s">
        <v>1233</v>
      </c>
      <c r="C358" s="6" t="s">
        <v>1234</v>
      </c>
      <c r="D358" s="9" t="s">
        <v>29</v>
      </c>
      <c r="E358" s="5" t="s">
        <v>2009</v>
      </c>
      <c r="F358" s="6" t="s">
        <v>2010</v>
      </c>
      <c r="G358" s="5" t="s">
        <v>2011</v>
      </c>
      <c r="H358" s="5" t="s">
        <v>2012</v>
      </c>
      <c r="I358" s="5" t="s">
        <v>2013</v>
      </c>
      <c r="J358" s="12" t="s">
        <v>160</v>
      </c>
      <c r="K358" s="4"/>
      <c r="L358" s="5" t="s">
        <v>2014</v>
      </c>
    </row>
    <row r="359" customFormat="false" ht="44" hidden="false" customHeight="false" outlineLevel="0" collapsed="false">
      <c r="A359" s="4" t="s">
        <v>0</v>
      </c>
      <c r="B359" s="5" t="s">
        <v>1233</v>
      </c>
      <c r="C359" s="6" t="s">
        <v>1234</v>
      </c>
      <c r="D359" s="9" t="s">
        <v>29</v>
      </c>
      <c r="E359" s="5" t="s">
        <v>2015</v>
      </c>
      <c r="F359" s="6" t="s">
        <v>2016</v>
      </c>
      <c r="G359" s="5" t="s">
        <v>2017</v>
      </c>
      <c r="H359" s="5" t="s">
        <v>2018</v>
      </c>
      <c r="I359" s="5" t="s">
        <v>2019</v>
      </c>
      <c r="J359" s="10" t="s">
        <v>56</v>
      </c>
      <c r="K359" s="4"/>
      <c r="L359" s="5" t="s">
        <v>2020</v>
      </c>
    </row>
    <row r="360" customFormat="false" ht="29.85" hidden="false" customHeight="false" outlineLevel="0" collapsed="false">
      <c r="A360" s="4" t="s">
        <v>0</v>
      </c>
      <c r="B360" s="5" t="s">
        <v>1233</v>
      </c>
      <c r="C360" s="6" t="s">
        <v>1234</v>
      </c>
      <c r="D360" s="9" t="s">
        <v>29</v>
      </c>
      <c r="E360" s="5" t="s">
        <v>2021</v>
      </c>
      <c r="F360" s="6" t="s">
        <v>2022</v>
      </c>
      <c r="G360" s="5" t="s">
        <v>2023</v>
      </c>
      <c r="H360" s="5" t="s">
        <v>2024</v>
      </c>
      <c r="I360" s="5" t="s">
        <v>2025</v>
      </c>
      <c r="J360" s="10" t="s">
        <v>56</v>
      </c>
      <c r="K360" s="4" t="s">
        <v>1240</v>
      </c>
      <c r="L360" s="5" t="s">
        <v>2026</v>
      </c>
    </row>
    <row r="361" customFormat="false" ht="44" hidden="false" customHeight="false" outlineLevel="0" collapsed="false">
      <c r="A361" s="4" t="s">
        <v>0</v>
      </c>
      <c r="B361" s="5" t="s">
        <v>1233</v>
      </c>
      <c r="C361" s="6" t="s">
        <v>1234</v>
      </c>
      <c r="D361" s="9" t="s">
        <v>29</v>
      </c>
      <c r="E361" s="5" t="s">
        <v>2027</v>
      </c>
      <c r="F361" s="5" t="s">
        <v>2028</v>
      </c>
      <c r="G361" s="5" t="s">
        <v>2029</v>
      </c>
      <c r="H361" s="5" t="s">
        <v>2030</v>
      </c>
      <c r="I361" s="5" t="s">
        <v>2031</v>
      </c>
      <c r="J361" s="8" t="s">
        <v>21</v>
      </c>
      <c r="K361" s="4"/>
      <c r="L361" s="5" t="s">
        <v>2020</v>
      </c>
    </row>
    <row r="362" customFormat="false" ht="44" hidden="false" customHeight="false" outlineLevel="0" collapsed="false">
      <c r="A362" s="4" t="s">
        <v>0</v>
      </c>
      <c r="B362" s="5" t="s">
        <v>1233</v>
      </c>
      <c r="C362" s="6" t="s">
        <v>1234</v>
      </c>
      <c r="D362" s="9" t="s">
        <v>29</v>
      </c>
      <c r="E362" s="5" t="s">
        <v>2032</v>
      </c>
      <c r="F362" s="6" t="s">
        <v>2033</v>
      </c>
      <c r="G362" s="5" t="s">
        <v>2034</v>
      </c>
      <c r="H362" s="5" t="s">
        <v>2035</v>
      </c>
      <c r="I362" s="5" t="s">
        <v>2036</v>
      </c>
      <c r="J362" s="12" t="s">
        <v>160</v>
      </c>
      <c r="K362" s="4"/>
      <c r="L362" s="5" t="s">
        <v>2037</v>
      </c>
    </row>
    <row r="363" customFormat="false" ht="55.2" hidden="false" customHeight="false" outlineLevel="0" collapsed="false">
      <c r="A363" s="4" t="s">
        <v>0</v>
      </c>
      <c r="B363" s="5" t="s">
        <v>1233</v>
      </c>
      <c r="C363" s="6" t="s">
        <v>1234</v>
      </c>
      <c r="D363" s="9" t="s">
        <v>29</v>
      </c>
      <c r="E363" s="5" t="s">
        <v>2038</v>
      </c>
      <c r="F363" s="6" t="s">
        <v>2039</v>
      </c>
      <c r="G363" s="5" t="s">
        <v>2040</v>
      </c>
      <c r="H363" s="5" t="s">
        <v>2041</v>
      </c>
      <c r="I363" s="6" t="s">
        <v>2042</v>
      </c>
      <c r="J363" s="8" t="s">
        <v>21</v>
      </c>
      <c r="K363" s="4" t="s">
        <v>1240</v>
      </c>
      <c r="L363" s="5" t="s">
        <v>2043</v>
      </c>
    </row>
    <row r="364" customFormat="false" ht="35.05" hidden="false" customHeight="false" outlineLevel="0" collapsed="false">
      <c r="A364" s="4" t="s">
        <v>0</v>
      </c>
      <c r="B364" s="5" t="s">
        <v>1233</v>
      </c>
      <c r="C364" s="6" t="s">
        <v>1234</v>
      </c>
      <c r="D364" s="9" t="s">
        <v>29</v>
      </c>
      <c r="E364" s="5" t="s">
        <v>2044</v>
      </c>
      <c r="F364" s="6" t="s">
        <v>2045</v>
      </c>
      <c r="G364" s="5" t="s">
        <v>2046</v>
      </c>
      <c r="H364" s="6" t="s">
        <v>2047</v>
      </c>
      <c r="I364" s="5" t="s">
        <v>2048</v>
      </c>
      <c r="J364" s="8" t="s">
        <v>21</v>
      </c>
      <c r="K364" s="4"/>
      <c r="L364" s="5" t="s">
        <v>2049</v>
      </c>
    </row>
    <row r="365" customFormat="false" ht="29.85" hidden="false" customHeight="false" outlineLevel="0" collapsed="false">
      <c r="A365" s="4" t="s">
        <v>0</v>
      </c>
      <c r="B365" s="5" t="s">
        <v>1233</v>
      </c>
      <c r="C365" s="6" t="s">
        <v>1234</v>
      </c>
      <c r="D365" s="9" t="s">
        <v>29</v>
      </c>
      <c r="E365" s="5" t="s">
        <v>2050</v>
      </c>
      <c r="F365" s="6" t="s">
        <v>2051</v>
      </c>
      <c r="G365" s="5" t="s">
        <v>2052</v>
      </c>
      <c r="H365" s="6" t="s">
        <v>2053</v>
      </c>
      <c r="I365" s="5" t="s">
        <v>2054</v>
      </c>
      <c r="J365" s="8" t="s">
        <v>21</v>
      </c>
      <c r="K365" s="4"/>
      <c r="L365" s="5" t="s">
        <v>2055</v>
      </c>
    </row>
    <row r="366" customFormat="false" ht="58.2" hidden="false" customHeight="false" outlineLevel="0" collapsed="false">
      <c r="A366" s="4" t="s">
        <v>0</v>
      </c>
      <c r="B366" s="5" t="s">
        <v>1233</v>
      </c>
      <c r="C366" s="6" t="s">
        <v>1234</v>
      </c>
      <c r="D366" s="9" t="s">
        <v>29</v>
      </c>
      <c r="E366" s="5" t="s">
        <v>2056</v>
      </c>
      <c r="F366" s="5" t="s">
        <v>2057</v>
      </c>
      <c r="G366" s="5" t="s">
        <v>2058</v>
      </c>
      <c r="H366" s="5" t="s">
        <v>2059</v>
      </c>
      <c r="I366" s="5" t="s">
        <v>2060</v>
      </c>
      <c r="J366" s="8" t="s">
        <v>21</v>
      </c>
      <c r="K366" s="4"/>
      <c r="L366" s="5" t="s">
        <v>2055</v>
      </c>
    </row>
    <row r="367" customFormat="false" ht="72.35" hidden="false" customHeight="false" outlineLevel="0" collapsed="false">
      <c r="A367" s="4" t="s">
        <v>0</v>
      </c>
      <c r="B367" s="5" t="s">
        <v>1233</v>
      </c>
      <c r="C367" s="6" t="s">
        <v>1234</v>
      </c>
      <c r="D367" s="9" t="s">
        <v>29</v>
      </c>
      <c r="E367" s="5" t="s">
        <v>2061</v>
      </c>
      <c r="F367" s="5" t="s">
        <v>2062</v>
      </c>
      <c r="G367" s="5" t="s">
        <v>2063</v>
      </c>
      <c r="H367" s="5" t="s">
        <v>2064</v>
      </c>
      <c r="I367" s="5" t="s">
        <v>2065</v>
      </c>
      <c r="J367" s="8" t="s">
        <v>21</v>
      </c>
      <c r="K367" s="4"/>
      <c r="L367" s="5" t="s">
        <v>2066</v>
      </c>
    </row>
    <row r="368" customFormat="false" ht="58.2" hidden="false" customHeight="false" outlineLevel="0" collapsed="false">
      <c r="A368" s="4" t="s">
        <v>0</v>
      </c>
      <c r="B368" s="5" t="s">
        <v>1233</v>
      </c>
      <c r="C368" s="6" t="s">
        <v>1234</v>
      </c>
      <c r="D368" s="9" t="s">
        <v>29</v>
      </c>
      <c r="E368" s="5" t="s">
        <v>2067</v>
      </c>
      <c r="F368" s="6" t="s">
        <v>2068</v>
      </c>
      <c r="G368" s="5" t="s">
        <v>2069</v>
      </c>
      <c r="H368" s="5" t="s">
        <v>2070</v>
      </c>
      <c r="I368" s="5" t="s">
        <v>2071</v>
      </c>
      <c r="J368" s="8" t="s">
        <v>21</v>
      </c>
      <c r="K368" s="4"/>
      <c r="L368" s="5" t="s">
        <v>2072</v>
      </c>
    </row>
    <row r="369" customFormat="false" ht="29.85" hidden="false" customHeight="false" outlineLevel="0" collapsed="false">
      <c r="A369" s="4" t="s">
        <v>0</v>
      </c>
      <c r="B369" s="5" t="s">
        <v>1233</v>
      </c>
      <c r="C369" s="6" t="s">
        <v>1234</v>
      </c>
      <c r="D369" s="9" t="s">
        <v>29</v>
      </c>
      <c r="E369" s="5" t="s">
        <v>2073</v>
      </c>
      <c r="F369" s="6" t="s">
        <v>2074</v>
      </c>
      <c r="G369" s="5" t="s">
        <v>2075</v>
      </c>
      <c r="H369" s="5" t="s">
        <v>2076</v>
      </c>
      <c r="I369" s="5" t="s">
        <v>2077</v>
      </c>
      <c r="J369" s="8" t="s">
        <v>21</v>
      </c>
      <c r="K369" s="4"/>
      <c r="L369" s="5" t="s">
        <v>2078</v>
      </c>
    </row>
    <row r="370" customFormat="false" ht="44" hidden="false" customHeight="false" outlineLevel="0" collapsed="false">
      <c r="A370" s="4" t="s">
        <v>0</v>
      </c>
      <c r="B370" s="5" t="s">
        <v>1233</v>
      </c>
      <c r="C370" s="6" t="s">
        <v>1234</v>
      </c>
      <c r="D370" s="9" t="s">
        <v>29</v>
      </c>
      <c r="E370" s="5" t="s">
        <v>2079</v>
      </c>
      <c r="F370" s="6" t="s">
        <v>2080</v>
      </c>
      <c r="G370" s="5" t="s">
        <v>2081</v>
      </c>
      <c r="H370" s="5" t="s">
        <v>2082</v>
      </c>
      <c r="I370" s="5" t="s">
        <v>2083</v>
      </c>
      <c r="J370" s="8" t="s">
        <v>21</v>
      </c>
      <c r="K370" s="4"/>
      <c r="L370" s="5" t="s">
        <v>2084</v>
      </c>
    </row>
    <row r="371" customFormat="false" ht="44" hidden="false" customHeight="false" outlineLevel="0" collapsed="false">
      <c r="A371" s="4" t="s">
        <v>0</v>
      </c>
      <c r="B371" s="5" t="s">
        <v>1233</v>
      </c>
      <c r="C371" s="6" t="s">
        <v>1234</v>
      </c>
      <c r="D371" s="9" t="s">
        <v>29</v>
      </c>
      <c r="E371" s="5" t="s">
        <v>2085</v>
      </c>
      <c r="F371" s="6" t="s">
        <v>2086</v>
      </c>
      <c r="G371" s="5" t="s">
        <v>2087</v>
      </c>
      <c r="H371" s="5" t="s">
        <v>2088</v>
      </c>
      <c r="I371" s="5" t="s">
        <v>2089</v>
      </c>
      <c r="J371" s="8" t="s">
        <v>21</v>
      </c>
      <c r="K371" s="4"/>
      <c r="L371" s="5" t="s">
        <v>2090</v>
      </c>
    </row>
    <row r="372" customFormat="false" ht="29.85" hidden="false" customHeight="false" outlineLevel="0" collapsed="false">
      <c r="A372" s="4" t="s">
        <v>0</v>
      </c>
      <c r="B372" s="5" t="s">
        <v>1233</v>
      </c>
      <c r="C372" s="6" t="s">
        <v>1234</v>
      </c>
      <c r="D372" s="9" t="s">
        <v>29</v>
      </c>
      <c r="E372" s="5" t="s">
        <v>2091</v>
      </c>
      <c r="F372" s="6" t="s">
        <v>2092</v>
      </c>
      <c r="G372" s="5" t="s">
        <v>2093</v>
      </c>
      <c r="H372" s="5" t="s">
        <v>2094</v>
      </c>
      <c r="I372" s="5" t="s">
        <v>2095</v>
      </c>
      <c r="J372" s="8" t="s">
        <v>21</v>
      </c>
      <c r="K372" s="4"/>
      <c r="L372" s="5" t="s">
        <v>2096</v>
      </c>
    </row>
    <row r="373" customFormat="false" ht="44" hidden="false" customHeight="false" outlineLevel="0" collapsed="false">
      <c r="A373" s="4" t="s">
        <v>0</v>
      </c>
      <c r="B373" s="5" t="s">
        <v>1233</v>
      </c>
      <c r="C373" s="6" t="s">
        <v>1234</v>
      </c>
      <c r="D373" s="9" t="s">
        <v>29</v>
      </c>
      <c r="E373" s="5" t="s">
        <v>2097</v>
      </c>
      <c r="F373" s="6" t="s">
        <v>2098</v>
      </c>
      <c r="G373" s="5" t="s">
        <v>2099</v>
      </c>
      <c r="H373" s="5" t="s">
        <v>2100</v>
      </c>
      <c r="I373" s="5" t="s">
        <v>2101</v>
      </c>
      <c r="J373" s="8" t="s">
        <v>21</v>
      </c>
      <c r="K373" s="4"/>
      <c r="L373" s="5" t="s">
        <v>2102</v>
      </c>
    </row>
    <row r="374" customFormat="false" ht="29.85" hidden="false" customHeight="false" outlineLevel="0" collapsed="false">
      <c r="A374" s="4" t="s">
        <v>0</v>
      </c>
      <c r="B374" s="5" t="s">
        <v>1233</v>
      </c>
      <c r="C374" s="6" t="s">
        <v>1234</v>
      </c>
      <c r="D374" s="9" t="s">
        <v>29</v>
      </c>
      <c r="E374" s="5" t="s">
        <v>2103</v>
      </c>
      <c r="F374" s="6" t="s">
        <v>2104</v>
      </c>
      <c r="G374" s="5" t="s">
        <v>2105</v>
      </c>
      <c r="H374" s="5" t="s">
        <v>2106</v>
      </c>
      <c r="I374" s="5" t="s">
        <v>2107</v>
      </c>
      <c r="J374" s="8" t="s">
        <v>21</v>
      </c>
      <c r="K374" s="4"/>
      <c r="L374" s="5" t="s">
        <v>2108</v>
      </c>
    </row>
    <row r="375" customFormat="false" ht="58.2" hidden="false" customHeight="false" outlineLevel="0" collapsed="false">
      <c r="A375" s="4" t="s">
        <v>0</v>
      </c>
      <c r="B375" s="5" t="s">
        <v>1233</v>
      </c>
      <c r="C375" s="6" t="s">
        <v>1234</v>
      </c>
      <c r="D375" s="9" t="s">
        <v>29</v>
      </c>
      <c r="E375" s="5" t="s">
        <v>2109</v>
      </c>
      <c r="F375" s="6" t="s">
        <v>2110</v>
      </c>
      <c r="G375" s="5" t="s">
        <v>2111</v>
      </c>
      <c r="H375" s="5" t="s">
        <v>2112</v>
      </c>
      <c r="I375" s="5" t="s">
        <v>2113</v>
      </c>
      <c r="J375" s="8" t="s">
        <v>21</v>
      </c>
      <c r="K375" s="4"/>
      <c r="L375" s="5" t="s">
        <v>2114</v>
      </c>
    </row>
    <row r="376" customFormat="false" ht="44" hidden="false" customHeight="false" outlineLevel="0" collapsed="false">
      <c r="A376" s="4" t="s">
        <v>0</v>
      </c>
      <c r="B376" s="5" t="s">
        <v>1233</v>
      </c>
      <c r="C376" s="6" t="s">
        <v>1234</v>
      </c>
      <c r="D376" s="9" t="s">
        <v>29</v>
      </c>
      <c r="E376" s="5" t="s">
        <v>2115</v>
      </c>
      <c r="F376" s="6" t="s">
        <v>2116</v>
      </c>
      <c r="G376" s="5" t="s">
        <v>2117</v>
      </c>
      <c r="H376" s="5" t="s">
        <v>2118</v>
      </c>
      <c r="I376" s="5" t="s">
        <v>2119</v>
      </c>
      <c r="J376" s="8" t="s">
        <v>21</v>
      </c>
      <c r="K376" s="4"/>
      <c r="L376" s="5" t="s">
        <v>2120</v>
      </c>
    </row>
    <row r="377" customFormat="false" ht="29.85" hidden="false" customHeight="false" outlineLevel="0" collapsed="false">
      <c r="A377" s="4" t="s">
        <v>0</v>
      </c>
      <c r="B377" s="5" t="s">
        <v>1233</v>
      </c>
      <c r="C377" s="6" t="s">
        <v>1234</v>
      </c>
      <c r="D377" s="9" t="s">
        <v>29</v>
      </c>
      <c r="E377" s="5" t="s">
        <v>2121</v>
      </c>
      <c r="F377" s="6" t="s">
        <v>2122</v>
      </c>
      <c r="G377" s="5" t="s">
        <v>2123</v>
      </c>
      <c r="H377" s="5" t="s">
        <v>2124</v>
      </c>
      <c r="I377" s="5" t="s">
        <v>2125</v>
      </c>
      <c r="J377" s="8" t="s">
        <v>21</v>
      </c>
      <c r="K377" s="4"/>
      <c r="L377" s="5" t="s">
        <v>2126</v>
      </c>
    </row>
    <row r="378" customFormat="false" ht="46.25" hidden="false" customHeight="false" outlineLevel="0" collapsed="false">
      <c r="A378" s="4" t="s">
        <v>0</v>
      </c>
      <c r="B378" s="5" t="s">
        <v>1233</v>
      </c>
      <c r="C378" s="6" t="s">
        <v>1234</v>
      </c>
      <c r="D378" s="9" t="s">
        <v>29</v>
      </c>
      <c r="E378" s="5" t="s">
        <v>2127</v>
      </c>
      <c r="F378" s="6" t="s">
        <v>2128</v>
      </c>
      <c r="G378" s="5" t="s">
        <v>2129</v>
      </c>
      <c r="H378" s="6" t="s">
        <v>2130</v>
      </c>
      <c r="I378" s="5" t="s">
        <v>2131</v>
      </c>
      <c r="J378" s="8" t="s">
        <v>21</v>
      </c>
      <c r="K378" s="4"/>
      <c r="L378" s="5" t="s">
        <v>2132</v>
      </c>
    </row>
    <row r="379" customFormat="false" ht="15" hidden="false" customHeight="false" outlineLevel="0" collapsed="false">
      <c r="A379" s="22" t="s">
        <v>2133</v>
      </c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</row>
    <row r="380" customFormat="false" ht="29.85" hidden="false" customHeight="false" outlineLevel="0" collapsed="false">
      <c r="A380" s="4" t="s">
        <v>0</v>
      </c>
      <c r="B380" s="5" t="s">
        <v>2134</v>
      </c>
      <c r="C380" s="6" t="s">
        <v>2135</v>
      </c>
      <c r="D380" s="7" t="s">
        <v>15</v>
      </c>
      <c r="E380" s="5" t="s">
        <v>2136</v>
      </c>
      <c r="F380" s="6" t="s">
        <v>2137</v>
      </c>
      <c r="G380" s="5" t="s">
        <v>2138</v>
      </c>
      <c r="H380" s="6" t="s">
        <v>2139</v>
      </c>
      <c r="I380" s="5" t="s">
        <v>2140</v>
      </c>
      <c r="J380" s="8" t="s">
        <v>21</v>
      </c>
      <c r="K380" s="4" t="s">
        <v>1240</v>
      </c>
      <c r="L380" s="5" t="s">
        <v>2141</v>
      </c>
    </row>
    <row r="381" customFormat="false" ht="29.85" hidden="false" customHeight="false" outlineLevel="0" collapsed="false">
      <c r="A381" s="4" t="s">
        <v>0</v>
      </c>
      <c r="B381" s="5" t="s">
        <v>2134</v>
      </c>
      <c r="C381" s="6" t="s">
        <v>2135</v>
      </c>
      <c r="D381" s="7" t="s">
        <v>15</v>
      </c>
      <c r="E381" s="5" t="s">
        <v>2142</v>
      </c>
      <c r="F381" s="6" t="s">
        <v>2143</v>
      </c>
      <c r="G381" s="5" t="s">
        <v>2144</v>
      </c>
      <c r="H381" s="6" t="s">
        <v>2145</v>
      </c>
      <c r="I381" s="6" t="s">
        <v>2146</v>
      </c>
      <c r="J381" s="10" t="s">
        <v>56</v>
      </c>
      <c r="K381" s="4"/>
      <c r="L381" s="5" t="s">
        <v>2147</v>
      </c>
    </row>
    <row r="382" customFormat="false" ht="15" hidden="false" customHeight="false" outlineLevel="0" collapsed="false">
      <c r="A382" s="4" t="s">
        <v>0</v>
      </c>
      <c r="B382" s="5" t="s">
        <v>2134</v>
      </c>
      <c r="C382" s="6" t="s">
        <v>2135</v>
      </c>
      <c r="D382" s="7" t="s">
        <v>15</v>
      </c>
      <c r="E382" s="5" t="s">
        <v>2148</v>
      </c>
      <c r="F382" s="6" t="s">
        <v>2149</v>
      </c>
      <c r="G382" s="5" t="s">
        <v>2150</v>
      </c>
      <c r="H382" s="6" t="s">
        <v>2151</v>
      </c>
      <c r="I382" s="6" t="s">
        <v>2152</v>
      </c>
      <c r="J382" s="10" t="s">
        <v>56</v>
      </c>
      <c r="K382" s="4"/>
      <c r="L382" s="5" t="s">
        <v>2147</v>
      </c>
    </row>
    <row r="383" customFormat="false" ht="15" hidden="false" customHeight="false" outlineLevel="0" collapsed="false">
      <c r="A383" s="4" t="s">
        <v>0</v>
      </c>
      <c r="B383" s="5" t="s">
        <v>2134</v>
      </c>
      <c r="C383" s="6" t="s">
        <v>2135</v>
      </c>
      <c r="D383" s="7" t="s">
        <v>15</v>
      </c>
      <c r="E383" s="5" t="s">
        <v>2153</v>
      </c>
      <c r="F383" s="6" t="s">
        <v>2154</v>
      </c>
      <c r="G383" s="5" t="s">
        <v>2155</v>
      </c>
      <c r="H383" s="6" t="s">
        <v>2156</v>
      </c>
      <c r="I383" s="6" t="s">
        <v>2157</v>
      </c>
      <c r="J383" s="10" t="s">
        <v>56</v>
      </c>
      <c r="K383" s="4"/>
      <c r="L383" s="5" t="s">
        <v>1168</v>
      </c>
    </row>
    <row r="384" customFormat="false" ht="15" hidden="false" customHeight="false" outlineLevel="0" collapsed="false">
      <c r="A384" s="4" t="s">
        <v>0</v>
      </c>
      <c r="B384" s="5" t="s">
        <v>2134</v>
      </c>
      <c r="C384" s="6" t="s">
        <v>2135</v>
      </c>
      <c r="D384" s="7" t="s">
        <v>15</v>
      </c>
      <c r="E384" s="5" t="s">
        <v>2158</v>
      </c>
      <c r="F384" s="6" t="s">
        <v>2159</v>
      </c>
      <c r="G384" s="5" t="s">
        <v>2160</v>
      </c>
      <c r="H384" s="6" t="s">
        <v>2161</v>
      </c>
      <c r="I384" s="6" t="s">
        <v>2162</v>
      </c>
      <c r="J384" s="10" t="s">
        <v>56</v>
      </c>
      <c r="K384" s="4"/>
      <c r="L384" s="5" t="s">
        <v>1168</v>
      </c>
    </row>
    <row r="385" customFormat="false" ht="35.05" hidden="false" customHeight="false" outlineLevel="0" collapsed="false">
      <c r="A385" s="4" t="s">
        <v>0</v>
      </c>
      <c r="B385" s="5" t="s">
        <v>2134</v>
      </c>
      <c r="C385" s="6" t="s">
        <v>2135</v>
      </c>
      <c r="D385" s="7" t="s">
        <v>15</v>
      </c>
      <c r="E385" s="5" t="s">
        <v>2163</v>
      </c>
      <c r="F385" s="6" t="s">
        <v>2164</v>
      </c>
      <c r="G385" s="5" t="s">
        <v>2165</v>
      </c>
      <c r="H385" s="5" t="s">
        <v>2166</v>
      </c>
      <c r="I385" s="6" t="s">
        <v>2152</v>
      </c>
      <c r="J385" s="10" t="s">
        <v>56</v>
      </c>
      <c r="K385" s="4"/>
      <c r="L385" s="5" t="s">
        <v>1168</v>
      </c>
    </row>
    <row r="386" customFormat="false" ht="44" hidden="false" customHeight="false" outlineLevel="0" collapsed="false">
      <c r="A386" s="4" t="s">
        <v>0</v>
      </c>
      <c r="B386" s="5" t="s">
        <v>2134</v>
      </c>
      <c r="C386" s="6" t="s">
        <v>2135</v>
      </c>
      <c r="D386" s="7" t="s">
        <v>15</v>
      </c>
      <c r="E386" s="5" t="s">
        <v>2167</v>
      </c>
      <c r="F386" s="6" t="s">
        <v>2168</v>
      </c>
      <c r="G386" s="5" t="s">
        <v>2169</v>
      </c>
      <c r="H386" s="6" t="s">
        <v>2170</v>
      </c>
      <c r="I386" s="6" t="s">
        <v>2171</v>
      </c>
      <c r="J386" s="8" t="s">
        <v>21</v>
      </c>
      <c r="K386" s="4" t="s">
        <v>1240</v>
      </c>
      <c r="L386" s="5" t="s">
        <v>2172</v>
      </c>
    </row>
    <row r="387" customFormat="false" ht="29.85" hidden="false" customHeight="false" outlineLevel="0" collapsed="false">
      <c r="A387" s="4" t="s">
        <v>0</v>
      </c>
      <c r="B387" s="5" t="s">
        <v>2134</v>
      </c>
      <c r="C387" s="6" t="s">
        <v>2135</v>
      </c>
      <c r="D387" s="7" t="s">
        <v>15</v>
      </c>
      <c r="E387" s="5" t="s">
        <v>2173</v>
      </c>
      <c r="F387" s="6" t="s">
        <v>2174</v>
      </c>
      <c r="G387" s="5" t="s">
        <v>2175</v>
      </c>
      <c r="H387" s="6" t="s">
        <v>2176</v>
      </c>
      <c r="I387" s="5" t="s">
        <v>2177</v>
      </c>
      <c r="J387" s="10" t="s">
        <v>56</v>
      </c>
      <c r="K387" s="4"/>
      <c r="L387" s="5" t="s">
        <v>63</v>
      </c>
    </row>
    <row r="388" customFormat="false" ht="41" hidden="false" customHeight="false" outlineLevel="0" collapsed="false">
      <c r="A388" s="4" t="s">
        <v>0</v>
      </c>
      <c r="B388" s="5" t="s">
        <v>2134</v>
      </c>
      <c r="C388" s="6" t="s">
        <v>2135</v>
      </c>
      <c r="D388" s="9" t="s">
        <v>29</v>
      </c>
      <c r="E388" s="5" t="s">
        <v>2178</v>
      </c>
      <c r="F388" s="5" t="s">
        <v>2179</v>
      </c>
      <c r="G388" s="5" t="s">
        <v>2180</v>
      </c>
      <c r="H388" s="6" t="s">
        <v>2181</v>
      </c>
      <c r="I388" s="5" t="s">
        <v>2182</v>
      </c>
      <c r="J388" s="8" t="s">
        <v>21</v>
      </c>
      <c r="K388" s="4"/>
      <c r="L388" s="5" t="s">
        <v>2183</v>
      </c>
    </row>
    <row r="389" customFormat="false" ht="44" hidden="false" customHeight="false" outlineLevel="0" collapsed="false">
      <c r="A389" s="4" t="s">
        <v>0</v>
      </c>
      <c r="B389" s="5" t="s">
        <v>2134</v>
      </c>
      <c r="C389" s="6" t="s">
        <v>2135</v>
      </c>
      <c r="D389" s="9" t="s">
        <v>29</v>
      </c>
      <c r="E389" s="5" t="s">
        <v>2184</v>
      </c>
      <c r="F389" s="6" t="s">
        <v>2185</v>
      </c>
      <c r="G389" s="5" t="s">
        <v>2186</v>
      </c>
      <c r="H389" s="6" t="s">
        <v>2187</v>
      </c>
      <c r="I389" s="5" t="s">
        <v>2188</v>
      </c>
      <c r="J389" s="12" t="s">
        <v>160</v>
      </c>
      <c r="K389" s="4"/>
      <c r="L389" s="5" t="s">
        <v>2189</v>
      </c>
    </row>
    <row r="390" customFormat="false" ht="29.85" hidden="false" customHeight="false" outlineLevel="0" collapsed="false">
      <c r="A390" s="4" t="s">
        <v>0</v>
      </c>
      <c r="B390" s="5" t="s">
        <v>2134</v>
      </c>
      <c r="C390" s="6" t="s">
        <v>2135</v>
      </c>
      <c r="D390" s="9" t="s">
        <v>29</v>
      </c>
      <c r="E390" s="5" t="s">
        <v>2190</v>
      </c>
      <c r="F390" s="5" t="s">
        <v>2191</v>
      </c>
      <c r="G390" s="5" t="s">
        <v>2192</v>
      </c>
      <c r="H390" s="6" t="s">
        <v>2193</v>
      </c>
      <c r="I390" s="6" t="s">
        <v>2194</v>
      </c>
      <c r="J390" s="10" t="s">
        <v>56</v>
      </c>
      <c r="K390" s="4"/>
      <c r="L390" s="5" t="s">
        <v>2195</v>
      </c>
    </row>
    <row r="391" customFormat="false" ht="29.85" hidden="false" customHeight="false" outlineLevel="0" collapsed="false">
      <c r="A391" s="4" t="s">
        <v>0</v>
      </c>
      <c r="B391" s="5" t="s">
        <v>2134</v>
      </c>
      <c r="C391" s="6" t="s">
        <v>2135</v>
      </c>
      <c r="D391" s="9" t="s">
        <v>29</v>
      </c>
      <c r="E391" s="5" t="s">
        <v>2196</v>
      </c>
      <c r="F391" s="5" t="s">
        <v>2197</v>
      </c>
      <c r="G391" s="5" t="s">
        <v>2198</v>
      </c>
      <c r="H391" s="6" t="s">
        <v>2199</v>
      </c>
      <c r="I391" s="5" t="s">
        <v>2200</v>
      </c>
      <c r="J391" s="8" t="s">
        <v>21</v>
      </c>
      <c r="K391" s="4"/>
      <c r="L391" s="5" t="s">
        <v>2201</v>
      </c>
    </row>
    <row r="392" customFormat="false" ht="44" hidden="false" customHeight="false" outlineLevel="0" collapsed="false">
      <c r="A392" s="4" t="s">
        <v>0</v>
      </c>
      <c r="B392" s="5" t="s">
        <v>2134</v>
      </c>
      <c r="C392" s="6" t="s">
        <v>2135</v>
      </c>
      <c r="D392" s="9" t="s">
        <v>29</v>
      </c>
      <c r="E392" s="5" t="s">
        <v>2202</v>
      </c>
      <c r="F392" s="5" t="s">
        <v>2203</v>
      </c>
      <c r="G392" s="5" t="s">
        <v>2204</v>
      </c>
      <c r="H392" s="5" t="s">
        <v>2205</v>
      </c>
      <c r="I392" s="5" t="s">
        <v>2206</v>
      </c>
      <c r="J392" s="8" t="s">
        <v>21</v>
      </c>
      <c r="K392" s="4"/>
      <c r="L392" s="5" t="s">
        <v>2201</v>
      </c>
    </row>
    <row r="393" customFormat="false" ht="29.85" hidden="false" customHeight="false" outlineLevel="0" collapsed="false">
      <c r="A393" s="4" t="s">
        <v>0</v>
      </c>
      <c r="B393" s="5" t="s">
        <v>2134</v>
      </c>
      <c r="C393" s="6" t="s">
        <v>2135</v>
      </c>
      <c r="D393" s="9" t="s">
        <v>29</v>
      </c>
      <c r="E393" s="5" t="s">
        <v>2207</v>
      </c>
      <c r="F393" s="6" t="s">
        <v>2208</v>
      </c>
      <c r="G393" s="5" t="s">
        <v>2209</v>
      </c>
      <c r="H393" s="6" t="s">
        <v>2210</v>
      </c>
      <c r="I393" s="5" t="s">
        <v>2211</v>
      </c>
      <c r="J393" s="8" t="s">
        <v>21</v>
      </c>
      <c r="K393" s="4"/>
      <c r="L393" s="5" t="s">
        <v>527</v>
      </c>
    </row>
    <row r="394" customFormat="false" ht="44" hidden="false" customHeight="false" outlineLevel="0" collapsed="false">
      <c r="A394" s="4" t="s">
        <v>0</v>
      </c>
      <c r="B394" s="5" t="s">
        <v>2134</v>
      </c>
      <c r="C394" s="6" t="s">
        <v>2135</v>
      </c>
      <c r="D394" s="9" t="s">
        <v>29</v>
      </c>
      <c r="E394" s="5" t="s">
        <v>2212</v>
      </c>
      <c r="F394" s="6" t="s">
        <v>2213</v>
      </c>
      <c r="G394" s="5" t="s">
        <v>2214</v>
      </c>
      <c r="H394" s="6" t="s">
        <v>2215</v>
      </c>
      <c r="I394" s="5" t="s">
        <v>2216</v>
      </c>
      <c r="J394" s="12" t="s">
        <v>160</v>
      </c>
      <c r="K394" s="4"/>
      <c r="L394" s="5" t="s">
        <v>2217</v>
      </c>
    </row>
    <row r="395" customFormat="false" ht="29.85" hidden="false" customHeight="false" outlineLevel="0" collapsed="false">
      <c r="A395" s="4" t="s">
        <v>0</v>
      </c>
      <c r="B395" s="5" t="s">
        <v>2134</v>
      </c>
      <c r="C395" s="6" t="s">
        <v>2135</v>
      </c>
      <c r="D395" s="9" t="s">
        <v>29</v>
      </c>
      <c r="E395" s="5" t="s">
        <v>2218</v>
      </c>
      <c r="F395" s="6" t="s">
        <v>2219</v>
      </c>
      <c r="G395" s="5" t="s">
        <v>2220</v>
      </c>
      <c r="H395" s="6" t="s">
        <v>2221</v>
      </c>
      <c r="I395" s="5" t="s">
        <v>2222</v>
      </c>
      <c r="J395" s="12" t="s">
        <v>160</v>
      </c>
      <c r="K395" s="4"/>
      <c r="L395" s="5" t="s">
        <v>2217</v>
      </c>
    </row>
    <row r="396" customFormat="false" ht="72.35" hidden="false" customHeight="false" outlineLevel="0" collapsed="false">
      <c r="A396" s="4" t="s">
        <v>0</v>
      </c>
      <c r="B396" s="5" t="s">
        <v>2134</v>
      </c>
      <c r="C396" s="6" t="s">
        <v>2135</v>
      </c>
      <c r="D396" s="9" t="s">
        <v>29</v>
      </c>
      <c r="E396" s="5" t="s">
        <v>2223</v>
      </c>
      <c r="F396" s="6" t="s">
        <v>2224</v>
      </c>
      <c r="G396" s="5" t="s">
        <v>2225</v>
      </c>
      <c r="H396" s="6" t="s">
        <v>2226</v>
      </c>
      <c r="I396" s="5" t="s">
        <v>2227</v>
      </c>
      <c r="J396" s="8" t="s">
        <v>21</v>
      </c>
      <c r="K396" s="4"/>
      <c r="L396" s="5" t="s">
        <v>2228</v>
      </c>
    </row>
  </sheetData>
  <mergeCells count="19">
    <mergeCell ref="A2:L2"/>
    <mergeCell ref="A7:L7"/>
    <mergeCell ref="A22:L22"/>
    <mergeCell ref="A34:L34"/>
    <mergeCell ref="A39:L39"/>
    <mergeCell ref="A44:L44"/>
    <mergeCell ref="A65:L65"/>
    <mergeCell ref="A78:L78"/>
    <mergeCell ref="A85:L85"/>
    <mergeCell ref="A109:L109"/>
    <mergeCell ref="A167:L167"/>
    <mergeCell ref="A173:L173"/>
    <mergeCell ref="A180:L180"/>
    <mergeCell ref="A197:L197"/>
    <mergeCell ref="A200:L200"/>
    <mergeCell ref="A205:L205"/>
    <mergeCell ref="A217:L217"/>
    <mergeCell ref="A224:L224"/>
    <mergeCell ref="A379:L3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8"/>
    <col collapsed="false" customWidth="true" hidden="false" outlineLevel="0" max="8" min="7" style="0" width="10"/>
  </cols>
  <sheetData>
    <row r="1" customFormat="false" ht="30" hidden="false" customHeight="true" outlineLevel="0" collapsed="false">
      <c r="A1" s="2" t="s">
        <v>2229</v>
      </c>
      <c r="B1" s="2" t="s">
        <v>2</v>
      </c>
      <c r="C1" s="1" t="s">
        <v>2230</v>
      </c>
      <c r="D1" s="1" t="s">
        <v>2231</v>
      </c>
      <c r="E1" s="2" t="s">
        <v>2232</v>
      </c>
      <c r="F1" s="2" t="s">
        <v>160</v>
      </c>
      <c r="G1" s="2" t="s">
        <v>21</v>
      </c>
      <c r="H1" s="2" t="s">
        <v>56</v>
      </c>
    </row>
    <row r="2" customFormat="false" ht="15" hidden="false" customHeight="false" outlineLevel="0" collapsed="false">
      <c r="A2" s="23" t="s">
        <v>13</v>
      </c>
      <c r="B2" s="6" t="s">
        <v>14</v>
      </c>
      <c r="C2" s="5" t="n">
        <f aca="false">COUNTIFS('통합 체크리스트'!B:B,"P0",'통합 체크리스트'!D:D,"Dash-1")</f>
        <v>2</v>
      </c>
      <c r="D2" s="5" t="n">
        <f aca="false">COUNTIFS('통합 체크리스트'!B:B,"P0",'통합 체크리스트'!D:D,"Dash-34")</f>
        <v>2</v>
      </c>
      <c r="E2" s="5" t="n">
        <f aca="false">C2+D2</f>
        <v>4</v>
      </c>
      <c r="F2" s="5" t="n">
        <f aca="false">COUNTIFS('통합 체크리스트'!B:B,"P0",'통합 체크리스트'!J:J,"적용")</f>
        <v>0</v>
      </c>
      <c r="G2" s="5" t="n">
        <f aca="false">COUNTIFS('통합 체크리스트'!B:B,"P0",'통합 체크리스트'!J:J,"부분적용")</f>
        <v>4</v>
      </c>
      <c r="H2" s="5" t="n">
        <f aca="false">COUNTIFS('통합 체크리스트'!B:B,"P0",'통합 체크리스트'!J:J,"미구현")</f>
        <v>0</v>
      </c>
    </row>
    <row r="3" customFormat="false" ht="15" hidden="false" customHeight="false" outlineLevel="0" collapsed="false">
      <c r="A3" s="23" t="s">
        <v>43</v>
      </c>
      <c r="B3" s="6" t="s">
        <v>44</v>
      </c>
      <c r="C3" s="5" t="n">
        <f aca="false">COUNTIFS('통합 체크리스트'!B:B,"P1",'통합 체크리스트'!D:D,"Dash-1")</f>
        <v>3</v>
      </c>
      <c r="D3" s="5" t="n">
        <f aca="false">COUNTIFS('통합 체크리스트'!B:B,"P1",'통합 체크리스트'!D:D,"Dash-34")</f>
        <v>11</v>
      </c>
      <c r="E3" s="5" t="n">
        <f aca="false">C3+D3</f>
        <v>14</v>
      </c>
      <c r="F3" s="5" t="n">
        <f aca="false">COUNTIFS('통합 체크리스트'!B:B,"P1",'통합 체크리스트'!J:J,"적용")</f>
        <v>0</v>
      </c>
      <c r="G3" s="5" t="n">
        <f aca="false">COUNTIFS('통합 체크리스트'!B:B,"P1",'통합 체크리스트'!J:J,"부분적용")</f>
        <v>1</v>
      </c>
      <c r="H3" s="5" t="n">
        <f aca="false">COUNTIFS('통합 체크리스트'!B:B,"P1",'통합 체크리스트'!J:J,"미구현")</f>
        <v>13</v>
      </c>
    </row>
    <row r="4" customFormat="false" ht="15" hidden="false" customHeight="false" outlineLevel="0" collapsed="false">
      <c r="A4" s="24" t="s">
        <v>130</v>
      </c>
      <c r="B4" s="6" t="s">
        <v>131</v>
      </c>
      <c r="C4" s="5" t="n">
        <f aca="false">COUNTIFS('통합 체크리스트'!B:B,"P2",'통합 체크리스트'!D:D,"Dash-1")</f>
        <v>10</v>
      </c>
      <c r="D4" s="5" t="n">
        <f aca="false">COUNTIFS('통합 체크리스트'!B:B,"P2",'통합 체크리스트'!D:D,"Dash-34")</f>
        <v>1</v>
      </c>
      <c r="E4" s="5" t="n">
        <f aca="false">C4+D4</f>
        <v>11</v>
      </c>
      <c r="F4" s="5" t="n">
        <f aca="false">COUNTIFS('통합 체크리스트'!B:B,"P2",'통합 체크리스트'!J:J,"적용")</f>
        <v>2</v>
      </c>
      <c r="G4" s="5" t="n">
        <f aca="false">COUNTIFS('통합 체크리스트'!B:B,"P2",'통합 체크리스트'!J:J,"부분적용")</f>
        <v>9</v>
      </c>
      <c r="H4" s="5" t="n">
        <f aca="false">COUNTIFS('통합 체크리스트'!B:B,"P2",'통합 체크리스트'!J:J,"미구현")</f>
        <v>0</v>
      </c>
    </row>
    <row r="5" customFormat="false" ht="15" hidden="false" customHeight="false" outlineLevel="0" collapsed="false">
      <c r="A5" s="24" t="s">
        <v>197</v>
      </c>
      <c r="B5" s="6" t="s">
        <v>198</v>
      </c>
      <c r="C5" s="5" t="n">
        <f aca="false">COUNTIFS('통합 체크리스트'!B:B,"P3",'통합 체크리스트'!D:D,"Dash-1")</f>
        <v>4</v>
      </c>
      <c r="D5" s="5" t="n">
        <f aca="false">COUNTIFS('통합 체크리스트'!B:B,"P3",'통합 체크리스트'!D:D,"Dash-34")</f>
        <v>0</v>
      </c>
      <c r="E5" s="5" t="n">
        <f aca="false">C5+D5</f>
        <v>4</v>
      </c>
      <c r="F5" s="5" t="n">
        <f aca="false">COUNTIFS('통합 체크리스트'!B:B,"P3",'통합 체크리스트'!J:J,"적용")</f>
        <v>1</v>
      </c>
      <c r="G5" s="5" t="n">
        <f aca="false">COUNTIFS('통합 체크리스트'!B:B,"P3",'통합 체크리스트'!J:J,"부분적용")</f>
        <v>1</v>
      </c>
      <c r="H5" s="5" t="n">
        <f aca="false">COUNTIFS('통합 체크리스트'!B:B,"P3",'통합 체크리스트'!J:J,"미구현")</f>
        <v>2</v>
      </c>
    </row>
    <row r="6" customFormat="false" ht="15" hidden="false" customHeight="false" outlineLevel="0" collapsed="false">
      <c r="A6" s="25" t="s">
        <v>223</v>
      </c>
      <c r="B6" s="5" t="s">
        <v>224</v>
      </c>
      <c r="C6" s="5" t="n">
        <f aca="false">COUNTIFS('통합 체크리스트'!B:B,"P4",'통합 체크리스트'!D:D,"Dash-1")</f>
        <v>0</v>
      </c>
      <c r="D6" s="5" t="n">
        <f aca="false">COUNTIFS('통합 체크리스트'!B:B,"P4",'통합 체크리스트'!D:D,"Dash-34")</f>
        <v>4</v>
      </c>
      <c r="E6" s="5" t="n">
        <f aca="false">C6+D6</f>
        <v>4</v>
      </c>
      <c r="F6" s="5" t="n">
        <f aca="false">COUNTIFS('통합 체크리스트'!B:B,"P4",'통합 체크리스트'!J:J,"적용")</f>
        <v>1</v>
      </c>
      <c r="G6" s="5" t="n">
        <f aca="false">COUNTIFS('통합 체크리스트'!B:B,"P4",'통합 체크리스트'!J:J,"부분적용")</f>
        <v>2</v>
      </c>
      <c r="H6" s="5" t="n">
        <f aca="false">COUNTIFS('통합 체크리스트'!B:B,"P4",'통합 체크리스트'!J:J,"미구현")</f>
        <v>1</v>
      </c>
    </row>
    <row r="7" customFormat="false" ht="15" hidden="false" customHeight="false" outlineLevel="0" collapsed="false">
      <c r="A7" s="25" t="s">
        <v>250</v>
      </c>
      <c r="B7" s="6" t="s">
        <v>251</v>
      </c>
      <c r="C7" s="5" t="n">
        <f aca="false">COUNTIFS('통합 체크리스트'!B:B,"P5",'통합 체크리스트'!D:D,"Dash-1")</f>
        <v>2</v>
      </c>
      <c r="D7" s="5" t="n">
        <f aca="false">COUNTIFS('통합 체크리스트'!B:B,"P5",'통합 체크리스트'!D:D,"Dash-34")</f>
        <v>18</v>
      </c>
      <c r="E7" s="5" t="n">
        <f aca="false">C7+D7</f>
        <v>20</v>
      </c>
      <c r="F7" s="5" t="n">
        <f aca="false">COUNTIFS('통합 체크리스트'!B:B,"P5",'통합 체크리스트'!J:J,"적용")</f>
        <v>5</v>
      </c>
      <c r="G7" s="5" t="n">
        <f aca="false">COUNTIFS('통합 체크리스트'!B:B,"P5",'통합 체크리스트'!J:J,"부분적용")</f>
        <v>9</v>
      </c>
      <c r="H7" s="5" t="n">
        <f aca="false">COUNTIFS('통합 체크리스트'!B:B,"P5",'통합 체크리스트'!J:J,"미구현")</f>
        <v>6</v>
      </c>
    </row>
    <row r="8" customFormat="false" ht="15" hidden="false" customHeight="false" outlineLevel="0" collapsed="false">
      <c r="A8" s="26" t="s">
        <v>372</v>
      </c>
      <c r="B8" s="6" t="s">
        <v>373</v>
      </c>
      <c r="C8" s="5" t="n">
        <f aca="false">COUNTIFS('통합 체크리스트'!B:B,"P6",'통합 체크리스트'!D:D,"Dash-1")</f>
        <v>7</v>
      </c>
      <c r="D8" s="5" t="n">
        <f aca="false">COUNTIFS('통합 체크리스트'!B:B,"P6",'통합 체크리스트'!D:D,"Dash-34")</f>
        <v>5</v>
      </c>
      <c r="E8" s="5" t="n">
        <f aca="false">C8+D8</f>
        <v>12</v>
      </c>
      <c r="F8" s="5" t="n">
        <f aca="false">COUNTIFS('통합 체크리스트'!B:B,"P6",'통합 체크리스트'!J:J,"적용")</f>
        <v>1</v>
      </c>
      <c r="G8" s="5" t="n">
        <f aca="false">COUNTIFS('통합 체크리스트'!B:B,"P6",'통합 체크리스트'!J:J,"부분적용")</f>
        <v>7</v>
      </c>
      <c r="H8" s="5" t="n">
        <f aca="false">COUNTIFS('통합 체크리스트'!B:B,"P6",'통합 체크리스트'!J:J,"미구현")</f>
        <v>4</v>
      </c>
    </row>
    <row r="9" customFormat="false" ht="15" hidden="false" customHeight="false" outlineLevel="0" collapsed="false">
      <c r="A9" s="26" t="s">
        <v>445</v>
      </c>
      <c r="B9" s="6" t="s">
        <v>446</v>
      </c>
      <c r="C9" s="5" t="n">
        <f aca="false">COUNTIFS('통합 체크리스트'!B:B,"P7",'통합 체크리스트'!D:D,"Dash-1")</f>
        <v>5</v>
      </c>
      <c r="D9" s="5" t="n">
        <f aca="false">COUNTIFS('통합 체크리스트'!B:B,"P7",'통합 체크리스트'!D:D,"Dash-34")</f>
        <v>1</v>
      </c>
      <c r="E9" s="5" t="n">
        <f aca="false">C9+D9</f>
        <v>6</v>
      </c>
      <c r="F9" s="5" t="n">
        <f aca="false">COUNTIFS('통합 체크리스트'!B:B,"P7",'통합 체크리스트'!J:J,"적용")</f>
        <v>1</v>
      </c>
      <c r="G9" s="5" t="n">
        <f aca="false">COUNTIFS('통합 체크리스트'!B:B,"P7",'통합 체크리스트'!J:J,"부분적용")</f>
        <v>4</v>
      </c>
      <c r="H9" s="5" t="n">
        <f aca="false">COUNTIFS('통합 체크리스트'!B:B,"P7",'통합 체크리스트'!J:J,"미구현")</f>
        <v>1</v>
      </c>
    </row>
    <row r="10" customFormat="false" ht="15" hidden="false" customHeight="false" outlineLevel="0" collapsed="false">
      <c r="A10" s="27" t="s">
        <v>480</v>
      </c>
      <c r="B10" s="6" t="s">
        <v>481</v>
      </c>
      <c r="C10" s="5" t="n">
        <f aca="false">COUNTIFS('통합 체크리스트'!B:B,"P8",'통합 체크리스트'!D:D,"Dash-1")</f>
        <v>6</v>
      </c>
      <c r="D10" s="5" t="n">
        <f aca="false">COUNTIFS('통합 체크리스트'!B:B,"P8",'통합 체크리스트'!D:D,"Dash-34")</f>
        <v>17</v>
      </c>
      <c r="E10" s="5" t="n">
        <f aca="false">C10+D10</f>
        <v>23</v>
      </c>
      <c r="F10" s="5" t="n">
        <f aca="false">COUNTIFS('통합 체크리스트'!B:B,"P8",'통합 체크리스트'!J:J,"적용")</f>
        <v>13</v>
      </c>
      <c r="G10" s="5" t="n">
        <f aca="false">COUNTIFS('통합 체크리스트'!B:B,"P8",'통합 체크리스트'!J:J,"부분적용")</f>
        <v>5</v>
      </c>
      <c r="H10" s="5" t="n">
        <f aca="false">COUNTIFS('통합 체크리스트'!B:B,"P8",'통합 체크리스트'!J:J,"미구현")</f>
        <v>5</v>
      </c>
    </row>
    <row r="11" customFormat="false" ht="15" hidden="false" customHeight="false" outlineLevel="0" collapsed="false">
      <c r="A11" s="27" t="s">
        <v>617</v>
      </c>
      <c r="B11" s="6" t="s">
        <v>618</v>
      </c>
      <c r="C11" s="5" t="n">
        <f aca="false">COUNTIFS('통합 체크리스트'!B:B,"P9",'통합 체크리스트'!D:D,"Dash-1")</f>
        <v>57</v>
      </c>
      <c r="D11" s="5" t="n">
        <f aca="false">COUNTIFS('통합 체크리스트'!B:B,"P9",'통합 체크리스트'!D:D,"Dash-34")</f>
        <v>0</v>
      </c>
      <c r="E11" s="5" t="n">
        <f aca="false">C11+D11</f>
        <v>57</v>
      </c>
      <c r="F11" s="5" t="n">
        <f aca="false">COUNTIFS('통합 체크리스트'!B:B,"P9",'통합 체크리스트'!J:J,"적용")</f>
        <v>10</v>
      </c>
      <c r="G11" s="5" t="n">
        <f aca="false">COUNTIFS('통합 체크리스트'!B:B,"P9",'통합 체크리스트'!J:J,"부분적용")</f>
        <v>37</v>
      </c>
      <c r="H11" s="5" t="n">
        <f aca="false">COUNTIFS('통합 체크리스트'!B:B,"P9",'통합 체크리스트'!J:J,"미구현")</f>
        <v>10</v>
      </c>
    </row>
    <row r="12" customFormat="false" ht="15" hidden="false" customHeight="false" outlineLevel="0" collapsed="false">
      <c r="A12" s="28" t="s">
        <v>922</v>
      </c>
      <c r="B12" s="6" t="s">
        <v>923</v>
      </c>
      <c r="C12" s="5" t="n">
        <f aca="false">COUNTIFS('통합 체크리스트'!B:B,"P10",'통합 체크리스트'!D:D,"Dash-1")</f>
        <v>0</v>
      </c>
      <c r="D12" s="5" t="n">
        <f aca="false">COUNTIFS('통합 체크리스트'!B:B,"P10",'통합 체크리스트'!D:D,"Dash-34")</f>
        <v>5</v>
      </c>
      <c r="E12" s="5" t="n">
        <f aca="false">C12+D12</f>
        <v>5</v>
      </c>
      <c r="F12" s="5" t="n">
        <f aca="false">COUNTIFS('통합 체크리스트'!B:B,"P10",'통합 체크리스트'!J:J,"적용")</f>
        <v>1</v>
      </c>
      <c r="G12" s="5" t="n">
        <f aca="false">COUNTIFS('통합 체크리스트'!B:B,"P10",'통합 체크리스트'!J:J,"부분적용")</f>
        <v>2</v>
      </c>
      <c r="H12" s="5" t="n">
        <f aca="false">COUNTIFS('통합 체크리스트'!B:B,"P10",'통합 체크리스트'!J:J,"미구현")</f>
        <v>2</v>
      </c>
    </row>
    <row r="13" customFormat="false" ht="15" hidden="false" customHeight="false" outlineLevel="0" collapsed="false">
      <c r="A13" s="29" t="s">
        <v>955</v>
      </c>
      <c r="B13" s="6" t="s">
        <v>956</v>
      </c>
      <c r="C13" s="5" t="n">
        <f aca="false">COUNTIFS('통합 체크리스트'!B:B,"P11",'통합 체크리스트'!D:D,"Dash-1")</f>
        <v>0</v>
      </c>
      <c r="D13" s="5" t="n">
        <f aca="false">COUNTIFS('통합 체크리스트'!B:B,"P11",'통합 체크리스트'!D:D,"Dash-34")</f>
        <v>6</v>
      </c>
      <c r="E13" s="5" t="n">
        <f aca="false">C13+D13</f>
        <v>6</v>
      </c>
      <c r="F13" s="5" t="n">
        <f aca="false">COUNTIFS('통합 체크리스트'!B:B,"P11",'통합 체크리스트'!J:J,"적용")</f>
        <v>3</v>
      </c>
      <c r="G13" s="5" t="n">
        <f aca="false">COUNTIFS('통합 체크리스트'!B:B,"P11",'통합 체크리스트'!J:J,"부분적용")</f>
        <v>2</v>
      </c>
      <c r="H13" s="5" t="n">
        <f aca="false">COUNTIFS('통합 체크리스트'!B:B,"P11",'통합 체크리스트'!J:J,"미구현")</f>
        <v>1</v>
      </c>
    </row>
    <row r="14" customFormat="false" ht="15" hidden="false" customHeight="false" outlineLevel="0" collapsed="false">
      <c r="A14" s="29" t="s">
        <v>994</v>
      </c>
      <c r="B14" s="6" t="s">
        <v>995</v>
      </c>
      <c r="C14" s="5" t="n">
        <f aca="false">COUNTIFS('통합 체크리스트'!B:B,"P12",'통합 체크리스트'!D:D,"Dash-1")</f>
        <v>0</v>
      </c>
      <c r="D14" s="5" t="n">
        <f aca="false">COUNTIFS('통합 체크리스트'!B:B,"P12",'통합 체크리스트'!D:D,"Dash-34")</f>
        <v>16</v>
      </c>
      <c r="E14" s="5" t="n">
        <f aca="false">C14+D14</f>
        <v>16</v>
      </c>
      <c r="F14" s="5" t="n">
        <f aca="false">COUNTIFS('통합 체크리스트'!B:B,"P12",'통합 체크리스트'!J:J,"적용")</f>
        <v>11</v>
      </c>
      <c r="G14" s="5" t="n">
        <f aca="false">COUNTIFS('통합 체크리스트'!B:B,"P12",'통합 체크리스트'!J:J,"부분적용")</f>
        <v>2</v>
      </c>
      <c r="H14" s="5" t="n">
        <f aca="false">COUNTIFS('통합 체크리스트'!B:B,"P12",'통합 체크리스트'!J:J,"미구현")</f>
        <v>3</v>
      </c>
    </row>
    <row r="15" customFormat="false" ht="15" hidden="false" customHeight="false" outlineLevel="0" collapsed="false">
      <c r="A15" s="30" t="s">
        <v>1091</v>
      </c>
      <c r="B15" s="6" t="s">
        <v>1092</v>
      </c>
      <c r="C15" s="5" t="n">
        <f aca="false">COUNTIFS('통합 체크리스트'!B:B,"P13",'통합 체크리스트'!D:D,"Dash-1")</f>
        <v>0</v>
      </c>
      <c r="D15" s="5" t="n">
        <f aca="false">COUNTIFS('통합 체크리스트'!B:B,"P13",'통합 체크리스트'!D:D,"Dash-34")</f>
        <v>2</v>
      </c>
      <c r="E15" s="5" t="n">
        <f aca="false">C15+D15</f>
        <v>2</v>
      </c>
      <c r="F15" s="5" t="n">
        <f aca="false">COUNTIFS('통합 체크리스트'!B:B,"P13",'통합 체크리스트'!J:J,"적용")</f>
        <v>2</v>
      </c>
      <c r="G15" s="5" t="n">
        <f aca="false">COUNTIFS('통합 체크리스트'!B:B,"P13",'통합 체크리스트'!J:J,"부분적용")</f>
        <v>0</v>
      </c>
      <c r="H15" s="5" t="n">
        <f aca="false">COUNTIFS('통합 체크리스트'!B:B,"P13",'통합 체크리스트'!J:J,"미구현")</f>
        <v>0</v>
      </c>
    </row>
    <row r="16" customFormat="false" ht="15" hidden="false" customHeight="false" outlineLevel="0" collapsed="false">
      <c r="A16" s="31" t="s">
        <v>1106</v>
      </c>
      <c r="B16" s="6" t="s">
        <v>1107</v>
      </c>
      <c r="C16" s="5" t="n">
        <f aca="false">COUNTIFS('통합 체크리스트'!B:B,"P14",'통합 체크리스트'!D:D,"Dash-1")</f>
        <v>0</v>
      </c>
      <c r="D16" s="5" t="n">
        <f aca="false">COUNTIFS('통합 체크리스트'!B:B,"P14",'통합 체크리스트'!D:D,"Dash-34")</f>
        <v>4</v>
      </c>
      <c r="E16" s="5" t="n">
        <f aca="false">C16+D16</f>
        <v>4</v>
      </c>
      <c r="F16" s="5" t="n">
        <f aca="false">COUNTIFS('통합 체크리스트'!B:B,"P14",'통합 체크리스트'!J:J,"적용")</f>
        <v>3</v>
      </c>
      <c r="G16" s="5" t="n">
        <f aca="false">COUNTIFS('통합 체크리스트'!B:B,"P14",'통합 체크리스트'!J:J,"부분적용")</f>
        <v>0</v>
      </c>
      <c r="H16" s="5" t="n">
        <f aca="false">COUNTIFS('통합 체크리스트'!B:B,"P14",'통합 체크리스트'!J:J,"미구현")</f>
        <v>1</v>
      </c>
    </row>
    <row r="17" customFormat="false" ht="15" hidden="false" customHeight="false" outlineLevel="0" collapsed="false">
      <c r="A17" s="32" t="s">
        <v>1131</v>
      </c>
      <c r="B17" s="6" t="s">
        <v>1132</v>
      </c>
      <c r="C17" s="5" t="n">
        <f aca="false">COUNTIFS('통합 체크리스트'!B:B,"P15",'통합 체크리스트'!D:D,"Dash-1")</f>
        <v>11</v>
      </c>
      <c r="D17" s="5" t="n">
        <f aca="false">COUNTIFS('통합 체크리스트'!B:B,"P15",'통합 체크리스트'!D:D,"Dash-34")</f>
        <v>0</v>
      </c>
      <c r="E17" s="5" t="n">
        <f aca="false">C17+D17</f>
        <v>11</v>
      </c>
      <c r="F17" s="5" t="n">
        <f aca="false">COUNTIFS('통합 체크리스트'!B:B,"P15",'통합 체크리스트'!J:J,"적용")</f>
        <v>6</v>
      </c>
      <c r="G17" s="5" t="n">
        <f aca="false">COUNTIFS('통합 체크리스트'!B:B,"P15",'통합 체크리스트'!J:J,"부분적용")</f>
        <v>5</v>
      </c>
      <c r="H17" s="5" t="n">
        <f aca="false">COUNTIFS('통합 체크리스트'!B:B,"P15",'통합 체크리스트'!J:J,"미구현")</f>
        <v>0</v>
      </c>
    </row>
    <row r="18" customFormat="false" ht="15" hidden="false" customHeight="false" outlineLevel="0" collapsed="false">
      <c r="A18" s="32" t="s">
        <v>1196</v>
      </c>
      <c r="B18" s="6" t="s">
        <v>1197</v>
      </c>
      <c r="C18" s="5" t="n">
        <f aca="false">COUNTIFS('통합 체크리스트'!B:B,"P16",'통합 체크리스트'!D:D,"Dash-1")</f>
        <v>4</v>
      </c>
      <c r="D18" s="5" t="n">
        <f aca="false">COUNTIFS('통합 체크리스트'!B:B,"P16",'통합 체크리스트'!D:D,"Dash-34")</f>
        <v>2</v>
      </c>
      <c r="E18" s="5" t="n">
        <f aca="false">C18+D18</f>
        <v>6</v>
      </c>
      <c r="F18" s="5" t="n">
        <f aca="false">COUNTIFS('통합 체크리스트'!B:B,"P16",'통합 체크리스트'!J:J,"적용")</f>
        <v>1</v>
      </c>
      <c r="G18" s="5" t="n">
        <f aca="false">COUNTIFS('통합 체크리스트'!B:B,"P16",'통합 체크리스트'!J:J,"부분적용")</f>
        <v>4</v>
      </c>
      <c r="H18" s="5" t="n">
        <f aca="false">COUNTIFS('통합 체크리스트'!B:B,"P16",'통합 체크리스트'!J:J,"미구현")</f>
        <v>1</v>
      </c>
    </row>
    <row r="19" customFormat="false" ht="15" hidden="false" customHeight="false" outlineLevel="0" collapsed="false">
      <c r="A19" s="33" t="s">
        <v>1233</v>
      </c>
      <c r="B19" s="6" t="s">
        <v>1234</v>
      </c>
      <c r="C19" s="5" t="n">
        <f aca="false">COUNTIFS('통합 체크리스트'!B:B,"PX",'통합 체크리스트'!D:D,"Dash-1")</f>
        <v>129</v>
      </c>
      <c r="D19" s="5" t="n">
        <f aca="false">COUNTIFS('통합 체크리스트'!B:B,"PX",'통합 체크리스트'!D:D,"Dash-34")</f>
        <v>25</v>
      </c>
      <c r="E19" s="5" t="n">
        <f aca="false">C19+D19</f>
        <v>154</v>
      </c>
      <c r="F19" s="5" t="n">
        <f aca="false">COUNTIFS('통합 체크리스트'!B:B,"PX",'통합 체크리스트'!J:J,"적용")</f>
        <v>21</v>
      </c>
      <c r="G19" s="5" t="n">
        <f aca="false">COUNTIFS('통합 체크리스트'!B:B,"PX",'통합 체크리스트'!J:J,"부분적용")</f>
        <v>97</v>
      </c>
      <c r="H19" s="5" t="n">
        <f aca="false">COUNTIFS('통합 체크리스트'!B:B,"PX",'통합 체크리스트'!J:J,"미구현")</f>
        <v>36</v>
      </c>
    </row>
    <row r="20" customFormat="false" ht="15" hidden="false" customHeight="false" outlineLevel="0" collapsed="false">
      <c r="A20" s="34" t="s">
        <v>2134</v>
      </c>
      <c r="B20" s="6" t="s">
        <v>2135</v>
      </c>
      <c r="C20" s="5" t="n">
        <f aca="false">COUNTIFS('통합 체크리스트'!B:B,"PA",'통합 체크리스트'!D:D,"Dash-1")</f>
        <v>8</v>
      </c>
      <c r="D20" s="5" t="n">
        <f aca="false">COUNTIFS('통합 체크리스트'!B:B,"PA",'통합 체크리스트'!D:D,"Dash-34")</f>
        <v>9</v>
      </c>
      <c r="E20" s="5" t="n">
        <f aca="false">C20+D20</f>
        <v>17</v>
      </c>
      <c r="F20" s="5" t="n">
        <f aca="false">COUNTIFS('통합 체크리스트'!B:B,"PA",'통합 체크리스트'!J:J,"적용")</f>
        <v>3</v>
      </c>
      <c r="G20" s="5" t="n">
        <f aca="false">COUNTIFS('통합 체크리스트'!B:B,"PA",'통합 체크리스트'!J:J,"부분적용")</f>
        <v>7</v>
      </c>
      <c r="H20" s="5" t="n">
        <f aca="false">COUNTIFS('통합 체크리스트'!B:B,"PA",'통합 체크리스트'!J:J,"미구현")</f>
        <v>7</v>
      </c>
    </row>
    <row r="21" customFormat="false" ht="15" hidden="false" customHeight="false" outlineLevel="0" collapsed="false">
      <c r="B21" s="35" t="s">
        <v>2232</v>
      </c>
      <c r="C21" s="35" t="n">
        <f aca="false">SUM(C2:C20)</f>
        <v>248</v>
      </c>
      <c r="D21" s="35" t="n">
        <f aca="false">SUM(D2:D20)</f>
        <v>128</v>
      </c>
      <c r="E21" s="35" t="n">
        <f aca="false">SUM(E2:E20)</f>
        <v>376</v>
      </c>
      <c r="F21" s="35" t="n">
        <f aca="false">SUM(F2:F20)</f>
        <v>85</v>
      </c>
      <c r="G21" s="35" t="n">
        <f aca="false">SUM(G2:G20)</f>
        <v>198</v>
      </c>
      <c r="H21" s="35" t="n">
        <f aca="false">SUM(H2:H20)</f>
        <v>93</v>
      </c>
    </row>
    <row r="23" customFormat="false" ht="15" hidden="false" customHeight="false" outlineLevel="0" collapsed="false">
      <c r="A23" s="35" t="s">
        <v>2233</v>
      </c>
    </row>
    <row r="24" customFormat="false" ht="45" hidden="false" customHeight="true" outlineLevel="0" collapsed="false">
      <c r="A24" s="36" t="s">
        <v>2234</v>
      </c>
      <c r="B24" s="36"/>
      <c r="C24" s="36"/>
      <c r="D24" s="36"/>
      <c r="E24" s="36"/>
      <c r="F24" s="36"/>
      <c r="G24" s="36"/>
      <c r="H24" s="36"/>
    </row>
  </sheetData>
  <mergeCells count="1"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2026-09-15T23:06:41Z</dcterms:created>
  <dc:creator>openpyxl</dc:creator>
  <dc:description/>
  <dc:language>en-US</dc:language>
  <cp:lastModifiedBy/>
  <dcterms:modified xsi:type="dcterms:W3CDTF">2026-09-15T23:06:41Z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